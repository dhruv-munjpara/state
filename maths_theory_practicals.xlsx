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&amp;DS\statistics\"/>
    </mc:Choice>
  </mc:AlternateContent>
  <xr:revisionPtr revIDLastSave="0" documentId="13_ncr:1_{52B66D1F-EC87-450F-9513-DAB4FBD4549B}" xr6:coauthVersionLast="47" xr6:coauthVersionMax="47" xr10:uidLastSave="{00000000-0000-0000-0000-000000000000}"/>
  <bookViews>
    <workbookView xWindow="-108" yWindow="-108" windowWidth="23256" windowHeight="12456" xr2:uid="{FD2B3EE6-66D2-42DC-A5C8-02C40EDD9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6" i="1" l="1"/>
  <c r="J190" i="1"/>
  <c r="J189" i="1"/>
  <c r="J186" i="1"/>
  <c r="J182" i="1"/>
  <c r="J181" i="1"/>
  <c r="J178" i="1"/>
  <c r="H173" i="1"/>
  <c r="H167" i="1"/>
  <c r="H157" i="1"/>
  <c r="H149" i="1"/>
  <c r="H142" i="1"/>
  <c r="H140" i="1"/>
  <c r="H136" i="1"/>
  <c r="H113" i="1"/>
  <c r="H111" i="1"/>
  <c r="H110" i="1"/>
  <c r="H109" i="1"/>
  <c r="H107" i="1"/>
  <c r="H105" i="1"/>
  <c r="H104" i="1"/>
  <c r="H103" i="1"/>
  <c r="H92" i="1"/>
  <c r="H91" i="1"/>
  <c r="H90" i="1"/>
  <c r="H89" i="1"/>
  <c r="H88" i="1"/>
  <c r="H87" i="1"/>
  <c r="H86" i="1"/>
  <c r="I82" i="1"/>
  <c r="H80" i="1"/>
  <c r="H79" i="1"/>
  <c r="H76" i="1"/>
  <c r="H65" i="1"/>
  <c r="H62" i="1"/>
  <c r="H59" i="1"/>
  <c r="H56" i="1"/>
</calcChain>
</file>

<file path=xl/sharedStrings.xml><?xml version="1.0" encoding="utf-8"?>
<sst xmlns="http://schemas.openxmlformats.org/spreadsheetml/2006/main" count="233" uniqueCount="195">
  <si>
    <t xml:space="preserve">session 1 </t>
  </si>
  <si>
    <t>theory</t>
  </si>
  <si>
    <t>1.Define statistics</t>
  </si>
  <si>
    <t>state means we will organinzing ,collect and analyze data to make  decision</t>
  </si>
  <si>
    <t>2.Difference between descriptive and inferential statistics</t>
  </si>
  <si>
    <r>
      <rPr>
        <b/>
        <i/>
        <sz val="11"/>
        <color theme="1"/>
        <rFont val="Calibri"/>
        <family val="2"/>
        <scheme val="minor"/>
      </rPr>
      <t>descriptive</t>
    </r>
    <r>
      <rPr>
        <sz val="11"/>
        <color theme="1"/>
        <rFont val="Calibri"/>
        <family val="2"/>
        <scheme val="minor"/>
      </rPr>
      <t xml:space="preserve"> means  it is describe and summary data                       and                                                                                                </t>
    </r>
    <r>
      <rPr>
        <b/>
        <i/>
        <sz val="11"/>
        <color theme="1"/>
        <rFont val="Calibri"/>
        <family val="2"/>
        <scheme val="minor"/>
      </rPr>
      <t>inferential</t>
    </r>
    <r>
      <rPr>
        <sz val="11"/>
        <color theme="1"/>
        <rFont val="Calibri"/>
        <family val="2"/>
        <scheme val="minor"/>
      </rPr>
      <t xml:space="preserve"> means it is draw a conclusion of population using sample</t>
    </r>
  </si>
  <si>
    <t>3.What is population?</t>
  </si>
  <si>
    <t>population means actual group of data and entire group of intrest</t>
  </si>
  <si>
    <t>4.What is sample?</t>
  </si>
  <si>
    <t>sample means it is small subset taken from population</t>
  </si>
  <si>
    <t>5.Difference between parameter and statistic</t>
  </si>
  <si>
    <t xml:space="preserve">parameter is measue population so it is mesure entire group of data                                                                                                           and                                                                                                     statistic means it is mesure the sample data </t>
  </si>
  <si>
    <t>practicals</t>
  </si>
  <si>
    <t>1.Identify population and sample: Survey of 200 voters out of 50,000</t>
  </si>
  <si>
    <t>population is 50,000 voters                                                                                       sample is 200 voters surved</t>
  </si>
  <si>
    <t>2.Sales data of last year → descriptive or inferential?</t>
  </si>
  <si>
    <t>3.Predicting next month sales → which type?</t>
  </si>
  <si>
    <t>inferential because we will predict the data</t>
  </si>
  <si>
    <t>4.Mean of sample = 500, population mean = 520 → which is parameter?</t>
  </si>
  <si>
    <t>5.Give one business example of inferential statistics</t>
  </si>
  <si>
    <t xml:space="preserve">take last 12 month sales data to predict next month sales data </t>
  </si>
  <si>
    <t>session 2</t>
  </si>
  <si>
    <t>1.Define numerical data</t>
  </si>
  <si>
    <t xml:space="preserve">numerical data mens we can make mathematical operation on data  like addition,subtraction,avarage etc </t>
  </si>
  <si>
    <t>2.Difference between discrete and continuous</t>
  </si>
  <si>
    <t xml:space="preserve">discrete data means countable  values it is counting                     and                                                                                                             continuous means data can take any value </t>
  </si>
  <si>
    <t>3.	What is nominal data?</t>
  </si>
  <si>
    <t>nominal data means it is not natural orders it has categories       like grnder(male,female)                                                                                        blood group(A,B,AB,O)</t>
  </si>
  <si>
    <t>4.	Difference between ordinal and interval</t>
  </si>
  <si>
    <t>ordinal means it is categories with orders but it is not mesurable          and                                                                                                          intervals means equals intervals and no true zeros like temperature (c*)</t>
  </si>
  <si>
    <t>5.	What is ratio scale?</t>
  </si>
  <si>
    <t>ratio scale means equals intervals and true zero exists                         like salary,age,salse</t>
  </si>
  <si>
    <t>session 3</t>
  </si>
  <si>
    <t>1.	Define mean</t>
  </si>
  <si>
    <t>mean means sum of total values and then divide by total number of observation</t>
  </si>
  <si>
    <t>2.	Define median</t>
  </si>
  <si>
    <t>median means it is the middel values when data is asc and desc</t>
  </si>
  <si>
    <t>3.	Define mode</t>
  </si>
  <si>
    <t>mode means take most frequently values</t>
  </si>
  <si>
    <t>4.	Why is mean affected by outliers?</t>
  </si>
  <si>
    <t>becz mean is callulate all data values                                                    so one value is high or low so it is pull mean itself and changing avarage</t>
  </si>
  <si>
    <t>5.	When is median preferred over mean?</t>
  </si>
  <si>
    <t>median is preferred data contains outliers or is skewed, decz it gives a more accurate central value in such cases</t>
  </si>
  <si>
    <t>1. Find mean of: 10, 20, 30, 40</t>
  </si>
  <si>
    <t>2. Find median of: 5, 10, 15</t>
  </si>
  <si>
    <t xml:space="preserve">mean </t>
  </si>
  <si>
    <t>median</t>
  </si>
  <si>
    <t>3. Find median of: 5, 10, 15, 20</t>
  </si>
  <si>
    <t>4. Find mode of: 2, 3, 3, 4</t>
  </si>
  <si>
    <t>mode</t>
  </si>
  <si>
    <t>5. Identify best measure for income data</t>
  </si>
  <si>
    <t>median is the best measure for income data</t>
  </si>
  <si>
    <t>session 4</t>
  </si>
  <si>
    <t>theoty</t>
  </si>
  <si>
    <t>1.	Define dispersion</t>
  </si>
  <si>
    <t xml:space="preserve">despersion means it is mesure of how spred out or scattered data values are around the centeral values </t>
  </si>
  <si>
    <t>2.	What is range?</t>
  </si>
  <si>
    <t>range means it is diff betwn the min and max values of the data</t>
  </si>
  <si>
    <t>3.	Difference between variance and SD</t>
  </si>
  <si>
    <t>variance means mesures avarage squared deviation of all data point of the mean                                                                                                         and                                                                                                                                                                             the SD means it is the squre root of the variance</t>
  </si>
  <si>
    <t>4.	Why is variance squared?</t>
  </si>
  <si>
    <t>1)remove negative sign                                                                                                     2)give more weight and large diff                                                                               3)make math easier for statistics</t>
  </si>
  <si>
    <t>5.	What does CV measure?</t>
  </si>
  <si>
    <t>CV means coefficient of variation and its mesures relative variability</t>
  </si>
  <si>
    <t>1.	Find range of: 10, 20, 50</t>
  </si>
  <si>
    <t>min</t>
  </si>
  <si>
    <t>max</t>
  </si>
  <si>
    <t>range</t>
  </si>
  <si>
    <t>2.	Calculate variance of: 2, 4, 6</t>
  </si>
  <si>
    <t>mean</t>
  </si>
  <si>
    <t>variance</t>
  </si>
  <si>
    <t>3.	Calculate SD if variance = 9</t>
  </si>
  <si>
    <t>standard deviation(square root(num))</t>
  </si>
  <si>
    <t>descriptive because , we will summary of past data not  predict a data</t>
  </si>
  <si>
    <t>4.	Compare two datasets using CV</t>
  </si>
  <si>
    <t>Dataset A</t>
  </si>
  <si>
    <t>Dataset B</t>
  </si>
  <si>
    <t>average A</t>
  </si>
  <si>
    <t>average B</t>
  </si>
  <si>
    <t>starndard deviation A</t>
  </si>
  <si>
    <t>starndard deviation B</t>
  </si>
  <si>
    <t>cv A</t>
  </si>
  <si>
    <t>cv B</t>
  </si>
  <si>
    <t>prercentage</t>
  </si>
  <si>
    <t>5.	Identify which dataset is more stable</t>
  </si>
  <si>
    <t>Lower CV = More Stable Dataset ,so
1)Dataset with smaller CV value is more stable.
2)Dataset with higher CV value is less stable.</t>
  </si>
  <si>
    <t>session - 5</t>
  </si>
  <si>
    <t>1.	What is percentile?</t>
  </si>
  <si>
    <t>percentile means the values below given percentage of observations fall  and it divide data 100 equal parts</t>
  </si>
  <si>
    <t>2.	Define quartiles</t>
  </si>
  <si>
    <t>quartiles means it divide in to 4 equal parts like we have 100 so its divide Q1=25th percentile,Q2=50th percentile and Q3=75th</t>
  </si>
  <si>
    <t>3.	What is IQR?</t>
  </si>
  <si>
    <t>IQR measures the of the middle 50% of data                                   like IQR=Q3-Q1</t>
  </si>
  <si>
    <t>4.	Why is IQR useful?</t>
  </si>
  <si>
    <t xml:space="preserve">Not affected by Outliers                                                                              Used to Detect Outliers                    </t>
  </si>
  <si>
    <t>5.	What does a boxplot show?</t>
  </si>
  <si>
    <t>Minimum value,Q1,Median (Q2),Q3 (Third Quartile),Maximum value,IQR,Outliers</t>
  </si>
  <si>
    <t>1.	Find Q1, Q2, Q3 of: 2, 4, 6, 8, 10</t>
  </si>
  <si>
    <t>data</t>
  </si>
  <si>
    <t>Q2</t>
  </si>
  <si>
    <t>Q1</t>
  </si>
  <si>
    <t>Q3</t>
  </si>
  <si>
    <t>2.	Calculate IQR</t>
  </si>
  <si>
    <t>IQR=Q3-Q1</t>
  </si>
  <si>
    <t>3.	Identify outlier using 1.5×IQR rule</t>
  </si>
  <si>
    <t>lower limit</t>
  </si>
  <si>
    <t>upper limit</t>
  </si>
  <si>
    <t>4.	Find 90th percentile of dataset</t>
  </si>
  <si>
    <t xml:space="preserve">90 th </t>
  </si>
  <si>
    <t>5.	Interpret a boxplot</t>
  </si>
  <si>
    <t>session -  6</t>
  </si>
  <si>
    <t>1.	Define probability</t>
  </si>
  <si>
    <t>it is measure the event will occur                                                                                 and  its range is 0 t0 1</t>
  </si>
  <si>
    <t>2.	What is sample space?</t>
  </si>
  <si>
    <t>all possible outcomes</t>
  </si>
  <si>
    <t>3.	What is an event?</t>
  </si>
  <si>
    <t>subset of the sample space like we have one dice{1,2,3,4,5,6} it’s have so if getting even numbers of the given dice{2,4,6}</t>
  </si>
  <si>
    <t>4.	State addition rule</t>
  </si>
  <si>
    <t>used when we find the probability of  event  A or B</t>
  </si>
  <si>
    <t>5.	Define conditional probability</t>
  </si>
  <si>
    <t>probability of A is given B is happened like p(A/B)</t>
  </si>
  <si>
    <t>1.	Find probability of rolling 3 on dice</t>
  </si>
  <si>
    <t>6 outcomes</t>
  </si>
  <si>
    <t>1,2,3,4,5,6</t>
  </si>
  <si>
    <t>3 on dice outcome</t>
  </si>
  <si>
    <t>2.	Find probability of even number on dice</t>
  </si>
  <si>
    <t>even on dice</t>
  </si>
  <si>
    <t>2,4,6</t>
  </si>
  <si>
    <t>total 3 outcomes</t>
  </si>
  <si>
    <t>total outcomes</t>
  </si>
  <si>
    <t>60 out of 200 customers churn. Probability?</t>
  </si>
  <si>
    <t>p(churn)</t>
  </si>
  <si>
    <t>4.	Calculate P(A OR B) if given P(A), P(B), P(A∩B)</t>
  </si>
  <si>
    <t>Event</t>
  </si>
  <si>
    <t>Value</t>
  </si>
  <si>
    <t>P(A)</t>
  </si>
  <si>
    <t>P(B)</t>
  </si>
  <si>
    <t>P(A∩B)</t>
  </si>
  <si>
    <t>P(A OR B)</t>
  </si>
  <si>
    <t>5.Conditional Probability – With Input Values</t>
  </si>
  <si>
    <t>Count</t>
  </si>
  <si>
    <t>Bought Phone (A)</t>
  </si>
  <si>
    <t>Bought Accessories (B)</t>
  </si>
  <si>
    <t>Bought Both (A∩B)</t>
  </si>
  <si>
    <t>p(B/A)</t>
  </si>
  <si>
    <t>population mean 520 is the parameter because parameter means value of populaton and statistic means value from sample  so 500=statistic and 520=parameter</t>
  </si>
  <si>
    <t>state</t>
  </si>
  <si>
    <t>session-7</t>
  </si>
  <si>
    <t>1.	Define conditional probability</t>
  </si>
  <si>
    <t>it is mesuare probability of an event give that another event is alredy occurred</t>
  </si>
  <si>
    <t>2.	State formula of P(A|B)</t>
  </si>
  <si>
    <t>its means probability of A given B</t>
  </si>
  <si>
    <t>3.	What is Bayes’ theorem?</t>
  </si>
  <si>
    <t>it is helps us in revers conditional probability</t>
  </si>
  <si>
    <t>4.	What is prior probability?</t>
  </si>
  <si>
    <t>Prior probability means  an event happen before we see any new information or data.</t>
  </si>
  <si>
    <t>5.	What is posterior probability?</t>
  </si>
  <si>
    <t>It is the updated probability after seeing data.</t>
  </si>
  <si>
    <t>1. Compute P(A|B) if P(A∩B)=0.2 and P(B)=0.5</t>
  </si>
  <si>
    <t>P(A|B)</t>
  </si>
  <si>
    <t>2. Apply Bayes formula</t>
  </si>
  <si>
    <t>A</t>
  </si>
  <si>
    <t>B</t>
  </si>
  <si>
    <t>P(B|A)</t>
  </si>
  <si>
    <t>3. Solve simple medical test problem</t>
  </si>
  <si>
    <t>1% people have disease.</t>
  </si>
  <si>
    <t>Condition</t>
  </si>
  <si>
    <t>P(Disease)</t>
  </si>
  <si>
    <t>P(Positive|Disease)</t>
  </si>
  <si>
    <t>P(Positive|No Disease)</t>
  </si>
  <si>
    <t>First find P(Positive)</t>
  </si>
  <si>
    <t>P(No Disease)</t>
  </si>
  <si>
    <t>P(Pos|Disease)</t>
  </si>
  <si>
    <t>P(Pos|No Disease)</t>
  </si>
  <si>
    <t>P(Positive)</t>
  </si>
  <si>
    <t>P(Disease|Positive)</t>
  </si>
  <si>
    <t>4. Find fraud probability example</t>
  </si>
  <si>
    <t>Fraud transactions</t>
  </si>
  <si>
    <t>P(Alert|Fraud)</t>
  </si>
  <si>
    <t>P(Alert|Normal)</t>
  </si>
  <si>
    <t>P(Fraud)</t>
  </si>
  <si>
    <t>P(Normal)</t>
  </si>
  <si>
    <t>P(Alert)</t>
  </si>
  <si>
    <t>P(Fraud|Alert)</t>
  </si>
  <si>
    <t>5. Interpret business conditional in excel</t>
  </si>
  <si>
    <t>Customer</t>
  </si>
  <si>
    <t>Phone</t>
  </si>
  <si>
    <t>Accessories</t>
  </si>
  <si>
    <t>Yes</t>
  </si>
  <si>
    <t>No</t>
  </si>
  <si>
    <t>Total Customers</t>
  </si>
  <si>
    <t>Both Phone &amp; Accessories</t>
  </si>
  <si>
    <t>Accessories Buyers</t>
  </si>
  <si>
    <t>P(Phone∣Accessories)</t>
  </si>
  <si>
    <r>
      <rPr>
        <b/>
        <sz val="11"/>
        <color theme="1"/>
        <rFont val="Calibri"/>
        <family val="2"/>
        <scheme val="minor"/>
      </rPr>
      <t>1)Number of website visits</t>
    </r>
    <r>
      <rPr>
        <sz val="11"/>
        <color theme="1"/>
        <rFont val="Calibri"/>
        <family val="2"/>
        <scheme val="minor"/>
      </rPr>
      <t xml:space="preserve">
  – Discrete
</t>
    </r>
    <r>
      <rPr>
        <b/>
        <sz val="11"/>
        <color theme="1"/>
        <rFont val="Calibri"/>
        <family val="2"/>
        <scheme val="minor"/>
      </rPr>
      <t>2)Customer rating (Poor–Excellent)</t>
    </r>
    <r>
      <rPr>
        <sz val="11"/>
        <color theme="1"/>
        <rFont val="Calibri"/>
        <family val="2"/>
        <scheme val="minor"/>
      </rPr>
      <t xml:space="preserve">
  – Ordinal
</t>
    </r>
    <r>
      <rPr>
        <b/>
        <sz val="11"/>
        <color theme="1"/>
        <rFont val="Calibri"/>
        <family val="2"/>
        <scheme val="minor"/>
      </rPr>
      <t>3) Temperature in Celsius</t>
    </r>
    <r>
      <rPr>
        <sz val="11"/>
        <color theme="1"/>
        <rFont val="Calibri"/>
        <family val="2"/>
        <scheme val="minor"/>
      </rPr>
      <t xml:space="preserve">
– Continuous
</t>
    </r>
    <r>
      <rPr>
        <b/>
        <sz val="11"/>
        <color theme="1"/>
        <rFont val="Calibri"/>
        <family val="2"/>
        <scheme val="minor"/>
      </rPr>
      <t>4)Blood group</t>
    </r>
    <r>
      <rPr>
        <sz val="11"/>
        <color theme="1"/>
        <rFont val="Calibri"/>
        <family val="2"/>
        <scheme val="minor"/>
      </rPr>
      <t xml:space="preserve">
– Nominal
</t>
    </r>
    <r>
      <rPr>
        <b/>
        <sz val="11"/>
        <color theme="1"/>
        <rFont val="Calibri"/>
        <family val="2"/>
        <scheme val="minor"/>
      </rPr>
      <t xml:space="preserve">5) Annual income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Continuous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</si>
</sst>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D4A8D-7A1F-43C1-8AEB-83A9C2C1968B}">
  <dimension ref="A1:O200"/>
  <sheetViews>
    <sheetView tabSelected="1" topLeftCell="A157" workbookViewId="0">
      <selection activeCell="A27" sqref="A27:F27"/>
    </sheetView>
  </sheetViews>
  <sheetFormatPr defaultRowHeight="14.4" x14ac:dyDescent="0.3"/>
  <cols>
    <col min="1" max="1" width="8.88671875" customWidth="1"/>
    <col min="7" max="7" width="19.21875" customWidth="1"/>
    <col min="8" max="8" width="22.21875" customWidth="1"/>
    <col min="9" max="9" width="19.109375" customWidth="1"/>
    <col min="10" max="10" width="22.88671875" customWidth="1"/>
  </cols>
  <sheetData>
    <row r="1" spans="1:15" ht="14.4" customHeight="1" x14ac:dyDescent="0.3">
      <c r="A1" s="14" t="s">
        <v>146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5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5" ht="18" x14ac:dyDescent="0.35">
      <c r="A3" s="24" t="s">
        <v>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1"/>
      <c r="N3" s="1"/>
      <c r="O3" s="1"/>
    </row>
    <row r="4" spans="1:15" x14ac:dyDescent="0.3">
      <c r="A4" s="16" t="s">
        <v>1</v>
      </c>
      <c r="B4" s="12"/>
      <c r="C4" s="12"/>
      <c r="D4" s="12"/>
      <c r="E4" s="12"/>
      <c r="F4" s="12"/>
      <c r="G4" s="10" t="s">
        <v>12</v>
      </c>
      <c r="H4" s="12"/>
      <c r="I4" s="12"/>
      <c r="J4" s="12"/>
      <c r="K4" s="12"/>
      <c r="L4" s="12"/>
      <c r="M4" s="1"/>
      <c r="N4" s="1"/>
      <c r="O4" s="1"/>
    </row>
    <row r="5" spans="1:15" x14ac:dyDescent="0.3">
      <c r="A5" s="16" t="s">
        <v>2</v>
      </c>
      <c r="B5" s="12"/>
      <c r="C5" s="12"/>
      <c r="D5" s="12"/>
      <c r="E5" s="12"/>
      <c r="F5" s="12"/>
      <c r="G5" s="10" t="s">
        <v>13</v>
      </c>
      <c r="H5" s="12"/>
      <c r="I5" s="12"/>
      <c r="J5" s="12"/>
      <c r="K5" s="12"/>
      <c r="L5" s="12"/>
      <c r="M5" s="12"/>
      <c r="N5" s="12"/>
      <c r="O5" s="12"/>
    </row>
    <row r="6" spans="1:15" ht="14.4" customHeight="1" x14ac:dyDescent="0.3">
      <c r="A6" s="11" t="s">
        <v>3</v>
      </c>
      <c r="B6" s="11"/>
      <c r="C6" s="11"/>
      <c r="D6" s="11"/>
      <c r="E6" s="11"/>
      <c r="F6" s="11"/>
      <c r="G6" s="11" t="s">
        <v>14</v>
      </c>
      <c r="H6" s="11"/>
      <c r="I6" s="11"/>
      <c r="J6" s="11"/>
      <c r="K6" s="11"/>
      <c r="L6" s="11"/>
      <c r="M6" s="11"/>
      <c r="N6" s="1"/>
      <c r="O6" s="1"/>
    </row>
    <row r="7" spans="1:15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"/>
      <c r="O7" s="1"/>
    </row>
    <row r="8" spans="1:15" x14ac:dyDescent="0.3">
      <c r="A8" s="16" t="s">
        <v>4</v>
      </c>
      <c r="B8" s="12"/>
      <c r="C8" s="12"/>
      <c r="D8" s="12"/>
      <c r="E8" s="12"/>
      <c r="F8" s="12"/>
      <c r="G8" s="10" t="s">
        <v>15</v>
      </c>
      <c r="H8" s="12"/>
      <c r="I8" s="12"/>
      <c r="J8" s="12"/>
      <c r="K8" s="12"/>
      <c r="L8" s="12"/>
      <c r="M8" s="12"/>
      <c r="N8" s="1"/>
      <c r="O8" s="1"/>
    </row>
    <row r="9" spans="1:15" ht="14.4" customHeight="1" x14ac:dyDescent="0.3">
      <c r="A9" s="11" t="s">
        <v>5</v>
      </c>
      <c r="B9" s="11"/>
      <c r="C9" s="11"/>
      <c r="D9" s="11"/>
      <c r="E9" s="11"/>
      <c r="F9" s="11"/>
      <c r="G9" s="12" t="s">
        <v>73</v>
      </c>
      <c r="H9" s="12"/>
      <c r="I9" s="12"/>
      <c r="J9" s="12"/>
      <c r="K9" s="12"/>
      <c r="L9" s="12"/>
      <c r="M9" s="1"/>
      <c r="N9" s="1"/>
      <c r="O9" s="1"/>
    </row>
    <row r="10" spans="1:15" x14ac:dyDescent="0.3">
      <c r="A10" s="11"/>
      <c r="B10" s="11"/>
      <c r="C10" s="11"/>
      <c r="D10" s="11"/>
      <c r="E10" s="11"/>
      <c r="F10" s="1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1"/>
      <c r="B11" s="11"/>
      <c r="C11" s="11"/>
      <c r="D11" s="11"/>
      <c r="E11" s="11"/>
      <c r="F11" s="11"/>
      <c r="G11" s="15" t="s">
        <v>16</v>
      </c>
      <c r="H11" s="11"/>
      <c r="I11" s="11"/>
      <c r="J11" s="11"/>
      <c r="K11" s="11"/>
      <c r="L11" s="11"/>
      <c r="M11" s="11"/>
      <c r="N11" s="1"/>
      <c r="O11" s="1"/>
    </row>
    <row r="12" spans="1:15" ht="15.6" customHeight="1" x14ac:dyDescent="0.3">
      <c r="A12" s="11"/>
      <c r="B12" s="11"/>
      <c r="C12" s="11"/>
      <c r="D12" s="11"/>
      <c r="E12" s="11"/>
      <c r="F12" s="11"/>
      <c r="G12" s="11" t="s">
        <v>17</v>
      </c>
      <c r="H12" s="11"/>
      <c r="I12" s="11"/>
      <c r="J12" s="11"/>
      <c r="K12" s="11"/>
      <c r="L12" s="11"/>
      <c r="M12" s="11"/>
      <c r="N12" s="1"/>
      <c r="O12" s="1"/>
    </row>
    <row r="13" spans="1:15" x14ac:dyDescent="0.3">
      <c r="A13" s="17" t="s">
        <v>6</v>
      </c>
      <c r="B13" s="11"/>
      <c r="C13" s="11"/>
      <c r="D13" s="11"/>
      <c r="E13" s="11"/>
      <c r="F13" s="11"/>
      <c r="G13" s="15" t="s">
        <v>18</v>
      </c>
      <c r="H13" s="11"/>
      <c r="I13" s="11"/>
      <c r="J13" s="11"/>
      <c r="K13" s="11"/>
      <c r="L13" s="11"/>
      <c r="M13" s="11"/>
      <c r="N13" s="1"/>
      <c r="O13" s="1"/>
    </row>
    <row r="14" spans="1:15" ht="14.4" customHeight="1" x14ac:dyDescent="0.3">
      <c r="A14" s="11" t="s">
        <v>7</v>
      </c>
      <c r="B14" s="11"/>
      <c r="C14" s="11"/>
      <c r="D14" s="11"/>
      <c r="E14" s="11"/>
      <c r="F14" s="11"/>
      <c r="G14" s="11" t="s">
        <v>145</v>
      </c>
      <c r="H14" s="11"/>
      <c r="I14" s="11"/>
      <c r="J14" s="11"/>
      <c r="K14" s="11"/>
      <c r="L14" s="11"/>
      <c r="M14" s="11"/>
      <c r="N14" s="1"/>
      <c r="O14" s="1"/>
    </row>
    <row r="15" spans="1:15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"/>
      <c r="O15" s="1"/>
    </row>
    <row r="16" spans="1:15" x14ac:dyDescent="0.3">
      <c r="A16" s="16" t="s">
        <v>8</v>
      </c>
      <c r="B16" s="12"/>
      <c r="C16" s="12"/>
      <c r="D16" s="12"/>
      <c r="E16" s="12"/>
      <c r="F16" s="12"/>
      <c r="G16" s="11"/>
      <c r="H16" s="11"/>
      <c r="I16" s="11"/>
      <c r="J16" s="11"/>
      <c r="K16" s="11"/>
      <c r="L16" s="11"/>
      <c r="M16" s="11"/>
      <c r="N16" s="1"/>
      <c r="O16" s="1"/>
    </row>
    <row r="17" spans="1:15" ht="14.4" customHeight="1" x14ac:dyDescent="0.3">
      <c r="A17" s="11" t="s">
        <v>9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"/>
      <c r="O17" s="1"/>
    </row>
    <row r="18" spans="1:15" x14ac:dyDescent="0.3">
      <c r="A18" s="17" t="s">
        <v>10</v>
      </c>
      <c r="B18" s="11"/>
      <c r="C18" s="11"/>
      <c r="D18" s="11"/>
      <c r="E18" s="11"/>
      <c r="F18" s="11"/>
      <c r="G18" s="15" t="s">
        <v>19</v>
      </c>
      <c r="H18" s="11"/>
      <c r="I18" s="11"/>
      <c r="J18" s="11"/>
      <c r="K18" s="11"/>
      <c r="L18" s="11"/>
      <c r="M18" s="11"/>
      <c r="N18" s="1"/>
      <c r="O18" s="1"/>
    </row>
    <row r="19" spans="1:15" ht="14.4" customHeight="1" x14ac:dyDescent="0.3">
      <c r="A19" s="11" t="s">
        <v>11</v>
      </c>
      <c r="B19" s="11"/>
      <c r="C19" s="11"/>
      <c r="D19" s="11"/>
      <c r="E19" s="11"/>
      <c r="F19" s="11"/>
      <c r="G19" s="11" t="s">
        <v>20</v>
      </c>
      <c r="H19" s="11"/>
      <c r="I19" s="11"/>
      <c r="J19" s="11"/>
      <c r="K19" s="11"/>
      <c r="L19" s="11"/>
      <c r="M19" s="11"/>
      <c r="N19" s="1"/>
      <c r="O19" s="1"/>
    </row>
    <row r="20" spans="1:15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"/>
      <c r="O20" s="1"/>
    </row>
    <row r="21" spans="1:15" x14ac:dyDescent="0.3">
      <c r="A21" s="11"/>
      <c r="B21" s="11"/>
      <c r="C21" s="11"/>
      <c r="D21" s="11"/>
      <c r="E21" s="11"/>
      <c r="F21" s="1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">
      <c r="A22" s="11"/>
      <c r="B22" s="11"/>
      <c r="C22" s="11"/>
      <c r="D22" s="11"/>
      <c r="E22" s="11"/>
      <c r="F22" s="1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A23" s="2"/>
      <c r="B23" s="2"/>
      <c r="C23" s="2"/>
      <c r="D23" s="2"/>
      <c r="E23" s="2"/>
      <c r="F23" s="2"/>
    </row>
    <row r="26" spans="1:15" ht="18" x14ac:dyDescent="0.35">
      <c r="A26" s="13" t="s">
        <v>21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1:15" x14ac:dyDescent="0.3">
      <c r="A27" s="19" t="s">
        <v>1</v>
      </c>
      <c r="B27" s="19"/>
      <c r="C27" s="19"/>
      <c r="D27" s="19"/>
      <c r="E27" s="19"/>
      <c r="F27" s="19"/>
      <c r="G27" s="19" t="s">
        <v>12</v>
      </c>
      <c r="H27" s="19"/>
      <c r="I27" s="19"/>
      <c r="J27" s="19"/>
      <c r="K27" s="19"/>
      <c r="L27" s="19"/>
      <c r="M27" s="1"/>
      <c r="N27" s="1"/>
    </row>
    <row r="28" spans="1:15" ht="14.4" customHeight="1" x14ac:dyDescent="0.3">
      <c r="A28" s="18" t="s">
        <v>22</v>
      </c>
      <c r="B28" s="18"/>
      <c r="C28" s="18"/>
      <c r="D28" s="18"/>
      <c r="E28" s="18"/>
      <c r="F28" s="18"/>
      <c r="G28" s="11" t="s">
        <v>194</v>
      </c>
      <c r="H28" s="11"/>
      <c r="I28" s="11"/>
      <c r="J28" s="11"/>
      <c r="K28" s="2"/>
      <c r="L28" s="2"/>
      <c r="M28" s="1"/>
      <c r="N28" s="1"/>
    </row>
    <row r="29" spans="1:15" ht="14.4" customHeight="1" x14ac:dyDescent="0.3">
      <c r="A29" s="11" t="s">
        <v>23</v>
      </c>
      <c r="B29" s="11"/>
      <c r="C29" s="11"/>
      <c r="D29" s="11"/>
      <c r="E29" s="11"/>
      <c r="F29" s="11"/>
      <c r="G29" s="11"/>
      <c r="H29" s="11"/>
      <c r="I29" s="11"/>
      <c r="J29" s="11"/>
      <c r="K29" s="2"/>
      <c r="L29" s="2"/>
      <c r="M29" s="1"/>
      <c r="N29" s="1"/>
    </row>
    <row r="30" spans="1:15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2"/>
      <c r="L30" s="2"/>
      <c r="M30" s="1"/>
      <c r="N30" s="1"/>
    </row>
    <row r="31" spans="1:15" x14ac:dyDescent="0.3">
      <c r="A31" s="20" t="s">
        <v>24</v>
      </c>
      <c r="B31" s="20"/>
      <c r="C31" s="20"/>
      <c r="D31" s="20"/>
      <c r="E31" s="20"/>
      <c r="F31" s="20"/>
      <c r="G31" s="11"/>
      <c r="H31" s="11"/>
      <c r="I31" s="11"/>
      <c r="J31" s="11"/>
      <c r="K31" s="2"/>
      <c r="L31" s="2"/>
      <c r="M31" s="1"/>
      <c r="N31" s="1"/>
    </row>
    <row r="32" spans="1:15" x14ac:dyDescent="0.3">
      <c r="A32" s="11" t="s">
        <v>25</v>
      </c>
      <c r="B32" s="11"/>
      <c r="C32" s="11"/>
      <c r="D32" s="11"/>
      <c r="E32" s="11"/>
      <c r="F32" s="11"/>
      <c r="G32" s="11"/>
      <c r="H32" s="11"/>
      <c r="I32" s="11"/>
      <c r="J32" s="11"/>
      <c r="K32" s="2"/>
      <c r="L32" s="2"/>
      <c r="M32" s="1"/>
      <c r="N32" s="1"/>
    </row>
    <row r="33" spans="1:14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2"/>
      <c r="L33" s="2"/>
      <c r="M33" s="1"/>
      <c r="N33" s="1"/>
    </row>
    <row r="34" spans="1:14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2"/>
      <c r="L34" s="2"/>
      <c r="M34" s="1"/>
      <c r="N34" s="1"/>
    </row>
    <row r="35" spans="1:14" x14ac:dyDescent="0.3">
      <c r="A35" s="18" t="s">
        <v>26</v>
      </c>
      <c r="B35" s="18"/>
      <c r="C35" s="18"/>
      <c r="D35" s="18"/>
      <c r="E35" s="18"/>
      <c r="F35" s="18"/>
      <c r="G35" s="11"/>
      <c r="H35" s="11"/>
      <c r="I35" s="11"/>
      <c r="J35" s="11"/>
      <c r="K35" s="2"/>
      <c r="L35" s="2"/>
      <c r="M35" s="1"/>
      <c r="N35" s="1"/>
    </row>
    <row r="36" spans="1:14" ht="14.4" customHeight="1" x14ac:dyDescent="0.3">
      <c r="A36" s="11" t="s">
        <v>27</v>
      </c>
      <c r="B36" s="11"/>
      <c r="C36" s="11"/>
      <c r="D36" s="11"/>
      <c r="E36" s="11"/>
      <c r="F36" s="11"/>
      <c r="G36" s="11"/>
      <c r="H36" s="11"/>
      <c r="I36" s="11"/>
      <c r="J36" s="11"/>
      <c r="K36" s="2"/>
      <c r="L36" s="2"/>
      <c r="M36" s="1"/>
      <c r="N36" s="1"/>
    </row>
    <row r="37" spans="1:14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2"/>
      <c r="L37" s="2"/>
      <c r="M37" s="1"/>
      <c r="N37" s="1"/>
    </row>
    <row r="38" spans="1:14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2"/>
      <c r="L38" s="2"/>
      <c r="M38" s="1"/>
      <c r="N38" s="1"/>
    </row>
    <row r="39" spans="1:14" x14ac:dyDescent="0.3">
      <c r="A39" s="18" t="s">
        <v>28</v>
      </c>
      <c r="B39" s="18"/>
      <c r="C39" s="18"/>
      <c r="D39" s="18"/>
      <c r="E39" s="18"/>
      <c r="F39" s="18"/>
      <c r="G39" s="11"/>
      <c r="H39" s="11"/>
      <c r="I39" s="11"/>
      <c r="J39" s="11"/>
      <c r="K39" s="2"/>
      <c r="L39" s="2"/>
      <c r="M39" s="1"/>
      <c r="N39" s="1"/>
    </row>
    <row r="40" spans="1:14" x14ac:dyDescent="0.3">
      <c r="A40" s="11" t="s">
        <v>29</v>
      </c>
      <c r="B40" s="11"/>
      <c r="C40" s="11"/>
      <c r="D40" s="11"/>
      <c r="E40" s="11"/>
      <c r="F40" s="11"/>
      <c r="G40" s="2"/>
      <c r="H40" s="2"/>
      <c r="I40" s="2"/>
      <c r="J40" s="2"/>
      <c r="K40" s="2"/>
      <c r="L40" s="2"/>
      <c r="M40" s="1"/>
      <c r="N40" s="1"/>
    </row>
    <row r="41" spans="1:14" x14ac:dyDescent="0.3">
      <c r="A41" s="11"/>
      <c r="B41" s="11"/>
      <c r="C41" s="11"/>
      <c r="D41" s="11"/>
      <c r="E41" s="11"/>
      <c r="F41" s="11"/>
      <c r="G41" s="2"/>
      <c r="H41" s="2"/>
      <c r="I41" s="2"/>
      <c r="J41" s="2"/>
      <c r="K41" s="2"/>
      <c r="L41" s="2"/>
      <c r="M41" s="1"/>
      <c r="N41" s="1"/>
    </row>
    <row r="42" spans="1:14" x14ac:dyDescent="0.3">
      <c r="A42" s="11"/>
      <c r="B42" s="11"/>
      <c r="C42" s="11"/>
      <c r="D42" s="11"/>
      <c r="E42" s="11"/>
      <c r="F42" s="11"/>
      <c r="G42" s="2"/>
      <c r="H42" s="2"/>
      <c r="I42" s="2"/>
      <c r="J42" s="2"/>
      <c r="K42" s="2"/>
      <c r="L42" s="2"/>
      <c r="M42" s="1"/>
      <c r="N42" s="1"/>
    </row>
    <row r="43" spans="1:14" x14ac:dyDescent="0.3">
      <c r="A43" s="11"/>
      <c r="B43" s="11"/>
      <c r="C43" s="11"/>
      <c r="D43" s="11"/>
      <c r="E43" s="11"/>
      <c r="F43" s="11"/>
      <c r="G43" s="4"/>
      <c r="H43" s="4"/>
      <c r="I43" s="4"/>
      <c r="J43" s="4"/>
      <c r="K43" s="4"/>
      <c r="L43" s="4"/>
      <c r="M43" s="1"/>
      <c r="N43" s="1"/>
    </row>
    <row r="44" spans="1:14" x14ac:dyDescent="0.3">
      <c r="A44" s="18" t="s">
        <v>30</v>
      </c>
      <c r="B44" s="18"/>
      <c r="C44" s="18"/>
      <c r="D44" s="18"/>
      <c r="E44" s="18"/>
      <c r="F44" s="18"/>
      <c r="G44" s="4"/>
      <c r="H44" s="4"/>
      <c r="I44" s="4"/>
      <c r="J44" s="4"/>
      <c r="K44" s="4"/>
      <c r="L44" s="4"/>
      <c r="M44" s="1"/>
      <c r="N44" s="1"/>
    </row>
    <row r="45" spans="1:14" ht="14.4" customHeight="1" x14ac:dyDescent="0.3">
      <c r="A45" s="11" t="s">
        <v>31</v>
      </c>
      <c r="B45" s="11"/>
      <c r="C45" s="11"/>
      <c r="D45" s="11"/>
      <c r="E45" s="11"/>
      <c r="F45" s="11"/>
      <c r="G45" s="4"/>
      <c r="H45" s="4"/>
      <c r="I45" s="4"/>
      <c r="J45" s="4"/>
      <c r="K45" s="4"/>
      <c r="L45" s="4"/>
      <c r="M45" s="1"/>
      <c r="N45" s="1"/>
    </row>
    <row r="46" spans="1:14" x14ac:dyDescent="0.3">
      <c r="A46" s="11"/>
      <c r="B46" s="11"/>
      <c r="C46" s="11"/>
      <c r="D46" s="11"/>
      <c r="E46" s="11"/>
      <c r="F46" s="11"/>
      <c r="G46" s="4"/>
      <c r="H46" s="4"/>
      <c r="I46" s="4"/>
      <c r="J46" s="4"/>
      <c r="K46" s="4"/>
      <c r="L46" s="4"/>
      <c r="M46" s="1"/>
      <c r="N46" s="1"/>
    </row>
    <row r="47" spans="1:14" x14ac:dyDescent="0.3">
      <c r="A47" s="4"/>
      <c r="B47" s="4"/>
      <c r="C47" s="4"/>
      <c r="D47" s="4"/>
      <c r="E47" s="4"/>
      <c r="F47" s="4"/>
      <c r="G47" s="1"/>
      <c r="H47" s="1"/>
      <c r="I47" s="1"/>
      <c r="J47" s="1"/>
      <c r="K47" s="1"/>
      <c r="L47" s="1"/>
      <c r="M47" s="1"/>
      <c r="N47" s="1"/>
    </row>
    <row r="48" spans="1:14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2" spans="1:14" ht="18" x14ac:dyDescent="0.35">
      <c r="A52" s="13" t="s">
        <v>32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spans="1:14" x14ac:dyDescent="0.3">
      <c r="A53" s="15" t="s">
        <v>1</v>
      </c>
      <c r="B53" s="15"/>
      <c r="C53" s="15"/>
      <c r="D53" s="15"/>
      <c r="E53" s="15"/>
      <c r="F53" s="15"/>
      <c r="G53" s="19" t="s">
        <v>12</v>
      </c>
      <c r="H53" s="19"/>
      <c r="I53" s="19"/>
      <c r="J53" s="19"/>
      <c r="K53" s="19"/>
      <c r="L53" s="19"/>
      <c r="M53" s="1"/>
    </row>
    <row r="54" spans="1:14" x14ac:dyDescent="0.3">
      <c r="A54" s="18" t="s">
        <v>33</v>
      </c>
      <c r="B54" s="18"/>
      <c r="C54" s="18"/>
      <c r="D54" s="18"/>
      <c r="E54" s="18"/>
      <c r="F54" s="18"/>
      <c r="G54" s="18" t="s">
        <v>43</v>
      </c>
      <c r="H54" s="18"/>
      <c r="I54" s="18"/>
      <c r="J54" s="18"/>
      <c r="K54" s="18"/>
      <c r="L54" s="5"/>
      <c r="M54" s="1"/>
    </row>
    <row r="55" spans="1:14" x14ac:dyDescent="0.3">
      <c r="A55" s="11" t="s">
        <v>34</v>
      </c>
      <c r="B55" s="11"/>
      <c r="C55" s="11"/>
      <c r="D55" s="11"/>
      <c r="E55" s="11"/>
      <c r="F55" s="11"/>
      <c r="G55" s="1">
        <v>10</v>
      </c>
      <c r="H55" s="1">
        <v>20</v>
      </c>
      <c r="I55" s="1">
        <v>30</v>
      </c>
      <c r="J55" s="1">
        <v>40</v>
      </c>
      <c r="K55" s="1"/>
      <c r="L55" s="1"/>
      <c r="M55" s="1"/>
    </row>
    <row r="56" spans="1:14" x14ac:dyDescent="0.3">
      <c r="A56" s="11"/>
      <c r="B56" s="11"/>
      <c r="C56" s="11"/>
      <c r="D56" s="11"/>
      <c r="E56" s="11"/>
      <c r="F56" s="11"/>
      <c r="G56" s="3" t="s">
        <v>45</v>
      </c>
      <c r="H56" s="3">
        <f>AVERAGE(G55:J55)</f>
        <v>25</v>
      </c>
      <c r="I56" s="1"/>
      <c r="J56" s="1"/>
      <c r="K56" s="1"/>
      <c r="L56" s="1"/>
      <c r="M56" s="1"/>
    </row>
    <row r="57" spans="1:14" x14ac:dyDescent="0.3">
      <c r="A57" s="18" t="s">
        <v>35</v>
      </c>
      <c r="B57" s="18"/>
      <c r="C57" s="18"/>
      <c r="D57" s="18"/>
      <c r="E57" s="18"/>
      <c r="F57" s="18"/>
      <c r="G57" s="18" t="s">
        <v>44</v>
      </c>
      <c r="H57" s="18"/>
      <c r="I57" s="18"/>
      <c r="J57" s="18"/>
      <c r="K57" s="18"/>
      <c r="L57" s="1"/>
      <c r="M57" s="1"/>
    </row>
    <row r="58" spans="1:14" ht="14.4" customHeight="1" x14ac:dyDescent="0.3">
      <c r="A58" s="11" t="s">
        <v>36</v>
      </c>
      <c r="B58" s="11"/>
      <c r="C58" s="11"/>
      <c r="D58" s="11"/>
      <c r="E58" s="11"/>
      <c r="F58" s="11"/>
      <c r="G58" s="1">
        <v>5</v>
      </c>
      <c r="H58" s="1">
        <v>10</v>
      </c>
      <c r="I58" s="1">
        <v>15</v>
      </c>
      <c r="J58" s="1"/>
      <c r="K58" s="1"/>
      <c r="L58" s="1"/>
      <c r="M58" s="1"/>
    </row>
    <row r="59" spans="1:14" x14ac:dyDescent="0.3">
      <c r="A59" s="20" t="s">
        <v>37</v>
      </c>
      <c r="B59" s="20"/>
      <c r="C59" s="20"/>
      <c r="D59" s="20"/>
      <c r="E59" s="20"/>
      <c r="F59" s="20"/>
      <c r="G59" s="3" t="s">
        <v>46</v>
      </c>
      <c r="H59" s="3">
        <f>MEDIAN(G58:I58)</f>
        <v>10</v>
      </c>
      <c r="I59" s="1"/>
      <c r="J59" s="1"/>
      <c r="K59" s="1"/>
      <c r="L59" s="1"/>
      <c r="M59" s="1"/>
    </row>
    <row r="60" spans="1:14" x14ac:dyDescent="0.3">
      <c r="A60" s="12" t="s">
        <v>38</v>
      </c>
      <c r="B60" s="12"/>
      <c r="C60" s="12"/>
      <c r="D60" s="12"/>
      <c r="E60" s="12"/>
      <c r="F60" s="12"/>
      <c r="G60" s="18" t="s">
        <v>47</v>
      </c>
      <c r="H60" s="18"/>
      <c r="I60" s="18"/>
      <c r="J60" s="18"/>
      <c r="K60" s="18"/>
      <c r="L60" s="1"/>
      <c r="M60" s="1"/>
    </row>
    <row r="61" spans="1:14" x14ac:dyDescent="0.3">
      <c r="A61" s="18" t="s">
        <v>39</v>
      </c>
      <c r="B61" s="18"/>
      <c r="C61" s="18"/>
      <c r="D61" s="18"/>
      <c r="E61" s="18"/>
      <c r="F61" s="18"/>
      <c r="G61" s="1">
        <v>5</v>
      </c>
      <c r="H61" s="1">
        <v>10</v>
      </c>
      <c r="I61" s="1">
        <v>15</v>
      </c>
      <c r="J61" s="1">
        <v>20</v>
      </c>
      <c r="K61" s="1"/>
      <c r="L61" s="1"/>
      <c r="M61" s="1"/>
    </row>
    <row r="62" spans="1:14" x14ac:dyDescent="0.3">
      <c r="A62" s="11" t="s">
        <v>40</v>
      </c>
      <c r="B62" s="11"/>
      <c r="C62" s="11"/>
      <c r="D62" s="11"/>
      <c r="E62" s="11"/>
      <c r="F62" s="11"/>
      <c r="G62" s="3" t="s">
        <v>46</v>
      </c>
      <c r="H62" s="3">
        <f>MEDIAN(G61:J61)</f>
        <v>12.5</v>
      </c>
      <c r="I62" s="1"/>
      <c r="J62" s="1"/>
      <c r="K62" s="1"/>
      <c r="L62" s="1"/>
      <c r="M62" s="1"/>
    </row>
    <row r="63" spans="1:14" x14ac:dyDescent="0.3">
      <c r="A63" s="11"/>
      <c r="B63" s="11"/>
      <c r="C63" s="11"/>
      <c r="D63" s="11"/>
      <c r="E63" s="11"/>
      <c r="F63" s="11"/>
      <c r="G63" s="18" t="s">
        <v>48</v>
      </c>
      <c r="H63" s="18"/>
      <c r="I63" s="18"/>
      <c r="J63" s="18"/>
      <c r="K63" s="18"/>
      <c r="L63" s="1"/>
      <c r="M63" s="1"/>
    </row>
    <row r="64" spans="1:14" x14ac:dyDescent="0.3">
      <c r="A64" s="11"/>
      <c r="B64" s="11"/>
      <c r="C64" s="11"/>
      <c r="D64" s="11"/>
      <c r="E64" s="11"/>
      <c r="F64" s="11"/>
      <c r="G64" s="1">
        <v>2</v>
      </c>
      <c r="H64" s="1">
        <v>3</v>
      </c>
      <c r="I64" s="1">
        <v>3</v>
      </c>
      <c r="J64" s="1">
        <v>4</v>
      </c>
      <c r="K64" s="1"/>
      <c r="L64" s="1"/>
      <c r="M64" s="1"/>
    </row>
    <row r="65" spans="1:13" x14ac:dyDescent="0.3">
      <c r="A65" s="18" t="s">
        <v>41</v>
      </c>
      <c r="B65" s="18"/>
      <c r="C65" s="18"/>
      <c r="D65" s="18"/>
      <c r="E65" s="18"/>
      <c r="F65" s="18"/>
      <c r="G65" s="3" t="s">
        <v>49</v>
      </c>
      <c r="H65" s="3">
        <f>_xlfn.MODE.SNGL(G64:J64)</f>
        <v>3</v>
      </c>
      <c r="I65" s="1"/>
      <c r="J65" s="1"/>
      <c r="K65" s="1"/>
      <c r="L65" s="1"/>
      <c r="M65" s="1"/>
    </row>
    <row r="66" spans="1:13" ht="14.4" customHeight="1" x14ac:dyDescent="0.3">
      <c r="A66" s="11" t="s">
        <v>42</v>
      </c>
      <c r="B66" s="11"/>
      <c r="C66" s="11"/>
      <c r="D66" s="11"/>
      <c r="E66" s="11"/>
      <c r="F66" s="11"/>
      <c r="G66" s="18" t="s">
        <v>50</v>
      </c>
      <c r="H66" s="18"/>
      <c r="I66" s="18"/>
      <c r="J66" s="18"/>
      <c r="K66" s="18"/>
      <c r="L66" s="1"/>
      <c r="M66" s="1"/>
    </row>
    <row r="67" spans="1:13" ht="14.4" customHeight="1" x14ac:dyDescent="0.3">
      <c r="A67" s="11"/>
      <c r="B67" s="11"/>
      <c r="C67" s="11"/>
      <c r="D67" s="11"/>
      <c r="E67" s="11"/>
      <c r="F67" s="11"/>
      <c r="G67" s="11" t="s">
        <v>51</v>
      </c>
      <c r="H67" s="11"/>
      <c r="I67" s="11"/>
      <c r="J67" s="11"/>
      <c r="K67" s="11"/>
      <c r="L67" s="1"/>
      <c r="M67" s="1"/>
    </row>
    <row r="68" spans="1:13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"/>
      <c r="M68" s="1"/>
    </row>
    <row r="69" spans="1:13" x14ac:dyDescent="0.3">
      <c r="G69" s="2"/>
      <c r="H69" s="2"/>
      <c r="I69" s="2"/>
      <c r="J69" s="2"/>
      <c r="K69" s="2"/>
    </row>
    <row r="71" spans="1:13" ht="18" x14ac:dyDescent="0.35">
      <c r="A71" s="13" t="s">
        <v>52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</row>
    <row r="72" spans="1:13" x14ac:dyDescent="0.3">
      <c r="A72" s="19" t="s">
        <v>53</v>
      </c>
      <c r="B72" s="19"/>
      <c r="C72" s="19"/>
      <c r="D72" s="19"/>
      <c r="E72" s="19"/>
      <c r="F72" s="19"/>
      <c r="G72" s="19" t="s">
        <v>12</v>
      </c>
      <c r="H72" s="19"/>
      <c r="I72" s="19"/>
      <c r="J72" s="19"/>
      <c r="K72" s="19"/>
      <c r="L72" s="19"/>
      <c r="M72" s="1"/>
    </row>
    <row r="73" spans="1:13" x14ac:dyDescent="0.3">
      <c r="A73" s="18" t="s">
        <v>54</v>
      </c>
      <c r="B73" s="18"/>
      <c r="C73" s="18"/>
      <c r="D73" s="18"/>
      <c r="E73" s="18"/>
      <c r="F73" s="18"/>
      <c r="G73" s="18" t="s">
        <v>64</v>
      </c>
      <c r="H73" s="18"/>
      <c r="I73" s="18"/>
      <c r="J73" s="18"/>
      <c r="K73" s="18"/>
      <c r="L73" s="18"/>
      <c r="M73" s="1"/>
    </row>
    <row r="74" spans="1:13" x14ac:dyDescent="0.3">
      <c r="A74" s="11" t="s">
        <v>55</v>
      </c>
      <c r="B74" s="11"/>
      <c r="C74" s="11"/>
      <c r="D74" s="11"/>
      <c r="E74" s="11"/>
      <c r="F74" s="11"/>
      <c r="G74" s="1" t="s">
        <v>65</v>
      </c>
      <c r="H74" s="1">
        <v>10</v>
      </c>
      <c r="I74" s="1"/>
      <c r="J74" s="1"/>
      <c r="K74" s="1"/>
      <c r="L74" s="1"/>
      <c r="M74" s="1"/>
    </row>
    <row r="75" spans="1:13" x14ac:dyDescent="0.3">
      <c r="A75" s="11"/>
      <c r="B75" s="11"/>
      <c r="C75" s="11"/>
      <c r="D75" s="11"/>
      <c r="E75" s="11"/>
      <c r="F75" s="11"/>
      <c r="G75" s="1" t="s">
        <v>66</v>
      </c>
      <c r="H75" s="1">
        <v>50</v>
      </c>
      <c r="I75" s="1"/>
      <c r="J75" s="1"/>
      <c r="K75" s="1"/>
      <c r="L75" s="1"/>
      <c r="M75" s="1"/>
    </row>
    <row r="76" spans="1:13" x14ac:dyDescent="0.3">
      <c r="A76" s="18" t="s">
        <v>56</v>
      </c>
      <c r="B76" s="18"/>
      <c r="C76" s="18"/>
      <c r="D76" s="18"/>
      <c r="E76" s="18"/>
      <c r="F76" s="18"/>
      <c r="G76" s="5" t="s">
        <v>67</v>
      </c>
      <c r="H76" s="5">
        <f>H75-H74</f>
        <v>40</v>
      </c>
      <c r="I76" s="1"/>
      <c r="J76" s="1"/>
      <c r="K76" s="1"/>
      <c r="L76" s="1"/>
      <c r="M76" s="1"/>
    </row>
    <row r="77" spans="1:13" ht="14.4" customHeight="1" x14ac:dyDescent="0.3">
      <c r="A77" s="11" t="s">
        <v>57</v>
      </c>
      <c r="B77" s="11"/>
      <c r="C77" s="11"/>
      <c r="D77" s="11"/>
      <c r="E77" s="11"/>
      <c r="F77" s="11"/>
      <c r="G77" s="18" t="s">
        <v>68</v>
      </c>
      <c r="H77" s="18"/>
      <c r="I77" s="18"/>
      <c r="J77" s="18"/>
      <c r="K77" s="18"/>
      <c r="L77" s="18"/>
      <c r="M77" s="1"/>
    </row>
    <row r="78" spans="1:13" x14ac:dyDescent="0.3">
      <c r="A78" s="20" t="s">
        <v>58</v>
      </c>
      <c r="B78" s="20"/>
      <c r="C78" s="20"/>
      <c r="D78" s="20"/>
      <c r="E78" s="20"/>
      <c r="F78" s="20"/>
      <c r="G78" s="1">
        <v>2</v>
      </c>
      <c r="H78" s="1">
        <v>4</v>
      </c>
      <c r="I78" s="1">
        <v>6</v>
      </c>
      <c r="J78" s="1"/>
      <c r="K78" s="1"/>
      <c r="L78" s="1"/>
      <c r="M78" s="1"/>
    </row>
    <row r="79" spans="1:13" ht="14.4" customHeight="1" x14ac:dyDescent="0.3">
      <c r="A79" s="11" t="s">
        <v>59</v>
      </c>
      <c r="B79" s="11"/>
      <c r="C79" s="11"/>
      <c r="D79" s="11"/>
      <c r="E79" s="11"/>
      <c r="F79" s="11"/>
      <c r="G79" s="1" t="s">
        <v>69</v>
      </c>
      <c r="H79" s="1">
        <f>AVERAGE(G78:I78)</f>
        <v>4</v>
      </c>
      <c r="I79" s="1"/>
      <c r="J79" s="1"/>
      <c r="K79" s="1"/>
      <c r="L79" s="1"/>
      <c r="M79" s="1"/>
    </row>
    <row r="80" spans="1:13" x14ac:dyDescent="0.3">
      <c r="A80" s="11"/>
      <c r="B80" s="11"/>
      <c r="C80" s="11"/>
      <c r="D80" s="11"/>
      <c r="E80" s="11"/>
      <c r="F80" s="11"/>
      <c r="G80" s="1" t="s">
        <v>70</v>
      </c>
      <c r="H80" s="1">
        <f>_xlfn.VAR.P(G78:I78)</f>
        <v>2.6666666666666665</v>
      </c>
      <c r="I80" s="1"/>
      <c r="J80" s="1"/>
      <c r="K80" s="1"/>
      <c r="L80" s="1"/>
      <c r="M80" s="1"/>
    </row>
    <row r="81" spans="1:13" x14ac:dyDescent="0.3">
      <c r="A81" s="11"/>
      <c r="B81" s="11"/>
      <c r="C81" s="11"/>
      <c r="D81" s="11"/>
      <c r="E81" s="11"/>
      <c r="F81" s="11"/>
      <c r="G81" s="15" t="s">
        <v>71</v>
      </c>
      <c r="H81" s="11"/>
      <c r="I81" s="11"/>
      <c r="J81" s="11"/>
      <c r="K81" s="11"/>
      <c r="L81" s="1"/>
      <c r="M81" s="1"/>
    </row>
    <row r="82" spans="1:13" x14ac:dyDescent="0.3">
      <c r="A82" s="11"/>
      <c r="B82" s="11"/>
      <c r="C82" s="11"/>
      <c r="D82" s="11"/>
      <c r="E82" s="11"/>
      <c r="F82" s="11"/>
      <c r="G82" s="12" t="s">
        <v>72</v>
      </c>
      <c r="H82" s="12"/>
      <c r="I82" s="1">
        <f>SQRT(9)</f>
        <v>3</v>
      </c>
      <c r="J82" s="1"/>
      <c r="K82" s="1"/>
      <c r="L82" s="1"/>
      <c r="M82" s="1"/>
    </row>
    <row r="83" spans="1:13" x14ac:dyDescent="0.3">
      <c r="A83" s="18" t="s">
        <v>60</v>
      </c>
      <c r="B83" s="18"/>
      <c r="C83" s="18"/>
      <c r="D83" s="18"/>
      <c r="E83" s="18"/>
      <c r="F83" s="18"/>
      <c r="G83" s="15" t="s">
        <v>74</v>
      </c>
      <c r="H83" s="15"/>
      <c r="I83" s="15"/>
      <c r="J83" s="15"/>
      <c r="K83" s="1"/>
      <c r="L83" s="1"/>
      <c r="M83" s="1"/>
    </row>
    <row r="84" spans="1:13" x14ac:dyDescent="0.3">
      <c r="A84" s="11" t="s">
        <v>61</v>
      </c>
      <c r="B84" s="11"/>
      <c r="C84" s="11"/>
      <c r="D84" s="11"/>
      <c r="E84" s="11"/>
      <c r="F84" s="11"/>
      <c r="G84" s="1" t="s">
        <v>75</v>
      </c>
      <c r="H84" s="1">
        <v>10</v>
      </c>
      <c r="I84" s="1">
        <v>12</v>
      </c>
      <c r="J84" s="1">
        <v>14</v>
      </c>
      <c r="K84" s="1"/>
      <c r="L84" s="1"/>
      <c r="M84" s="1"/>
    </row>
    <row r="85" spans="1:13" x14ac:dyDescent="0.3">
      <c r="A85" s="11"/>
      <c r="B85" s="11"/>
      <c r="C85" s="11"/>
      <c r="D85" s="11"/>
      <c r="E85" s="11"/>
      <c r="F85" s="11"/>
      <c r="G85" s="1" t="s">
        <v>76</v>
      </c>
      <c r="H85" s="1">
        <v>100</v>
      </c>
      <c r="I85" s="1">
        <v>120</v>
      </c>
      <c r="J85" s="1">
        <v>140</v>
      </c>
      <c r="K85" s="1"/>
      <c r="L85" s="1"/>
      <c r="M85" s="1"/>
    </row>
    <row r="86" spans="1:13" x14ac:dyDescent="0.3">
      <c r="A86" s="11"/>
      <c r="B86" s="11"/>
      <c r="C86" s="11"/>
      <c r="D86" s="11"/>
      <c r="E86" s="11"/>
      <c r="F86" s="11"/>
      <c r="G86" s="1" t="s">
        <v>77</v>
      </c>
      <c r="H86" s="1">
        <f>AVERAGE(H84:J84)</f>
        <v>12</v>
      </c>
      <c r="I86" s="1"/>
      <c r="J86" s="1"/>
      <c r="K86" s="1"/>
      <c r="L86" s="1"/>
      <c r="M86" s="1"/>
    </row>
    <row r="87" spans="1:13" x14ac:dyDescent="0.3">
      <c r="A87" s="18" t="s">
        <v>62</v>
      </c>
      <c r="B87" s="18"/>
      <c r="C87" s="18"/>
      <c r="D87" s="18"/>
      <c r="E87" s="18"/>
      <c r="F87" s="18"/>
      <c r="G87" s="1" t="s">
        <v>78</v>
      </c>
      <c r="H87" s="1">
        <f>AVERAGE(H85:J85)</f>
        <v>120</v>
      </c>
      <c r="I87" s="1"/>
      <c r="J87" s="1"/>
      <c r="K87" s="1"/>
      <c r="L87" s="1"/>
      <c r="M87" s="1"/>
    </row>
    <row r="88" spans="1:13" ht="14.4" customHeight="1" x14ac:dyDescent="0.3">
      <c r="A88" s="11" t="s">
        <v>63</v>
      </c>
      <c r="B88" s="11"/>
      <c r="C88" s="11"/>
      <c r="D88" s="11"/>
      <c r="E88" s="11"/>
      <c r="F88" s="11"/>
      <c r="G88" s="1" t="s">
        <v>79</v>
      </c>
      <c r="H88" s="1">
        <f>_xlfn.STDEV.S(H84:J84)</f>
        <v>2</v>
      </c>
      <c r="I88" s="1"/>
      <c r="J88" s="1"/>
      <c r="K88" s="1"/>
      <c r="L88" s="1"/>
      <c r="M88" s="1"/>
    </row>
    <row r="89" spans="1:13" x14ac:dyDescent="0.3">
      <c r="A89" s="11"/>
      <c r="B89" s="11"/>
      <c r="C89" s="11"/>
      <c r="D89" s="11"/>
      <c r="E89" s="11"/>
      <c r="F89" s="11"/>
      <c r="G89" s="1" t="s">
        <v>80</v>
      </c>
      <c r="H89" s="1">
        <f>_xlfn.STDEV.S(H85:J85)</f>
        <v>20</v>
      </c>
      <c r="I89" s="1"/>
      <c r="J89" s="1"/>
      <c r="K89" s="1"/>
      <c r="L89" s="1"/>
      <c r="M89" s="1"/>
    </row>
    <row r="90" spans="1:13" x14ac:dyDescent="0.3">
      <c r="A90" s="1"/>
      <c r="B90" s="1"/>
      <c r="C90" s="1"/>
      <c r="D90" s="1"/>
      <c r="E90" s="1"/>
      <c r="F90" s="1"/>
      <c r="G90" s="1" t="s">
        <v>81</v>
      </c>
      <c r="H90" s="1">
        <f>H88/H86</f>
        <v>0.16666666666666666</v>
      </c>
      <c r="I90" s="1"/>
      <c r="J90" s="1"/>
      <c r="K90" s="1"/>
      <c r="L90" s="1"/>
      <c r="M90" s="1"/>
    </row>
    <row r="91" spans="1:13" x14ac:dyDescent="0.3">
      <c r="A91" s="1"/>
      <c r="B91" s="1"/>
      <c r="C91" s="1"/>
      <c r="D91" s="1"/>
      <c r="E91" s="1"/>
      <c r="F91" s="1"/>
      <c r="G91" s="1" t="s">
        <v>82</v>
      </c>
      <c r="H91" s="1">
        <f>H89/H87</f>
        <v>0.16666666666666666</v>
      </c>
      <c r="I91" s="1"/>
      <c r="J91" s="1"/>
      <c r="K91" s="1"/>
      <c r="L91" s="1"/>
      <c r="M91" s="1"/>
    </row>
    <row r="92" spans="1:13" x14ac:dyDescent="0.3">
      <c r="A92" s="1"/>
      <c r="B92" s="1"/>
      <c r="C92" s="1"/>
      <c r="D92" s="1"/>
      <c r="E92" s="1"/>
      <c r="F92" s="1"/>
      <c r="G92" s="1" t="s">
        <v>83</v>
      </c>
      <c r="H92" s="1">
        <f>H90*100</f>
        <v>16.666666666666664</v>
      </c>
      <c r="I92" s="1"/>
      <c r="J92" s="1"/>
      <c r="K92" s="1"/>
      <c r="L92" s="1"/>
      <c r="M92" s="1"/>
    </row>
    <row r="93" spans="1:13" x14ac:dyDescent="0.3">
      <c r="A93" s="1"/>
      <c r="B93" s="1"/>
      <c r="C93" s="1"/>
      <c r="D93" s="1"/>
      <c r="E93" s="1"/>
      <c r="F93" s="1"/>
      <c r="G93" s="15" t="s">
        <v>84</v>
      </c>
      <c r="H93" s="15"/>
      <c r="I93" s="15"/>
      <c r="J93" s="15"/>
      <c r="K93" s="1"/>
      <c r="L93" s="1"/>
      <c r="M93" s="1"/>
    </row>
    <row r="94" spans="1:13" x14ac:dyDescent="0.3">
      <c r="A94" s="1"/>
      <c r="B94" s="1"/>
      <c r="C94" s="1"/>
      <c r="D94" s="1"/>
      <c r="E94" s="1"/>
      <c r="F94" s="1"/>
      <c r="G94" s="11" t="s">
        <v>85</v>
      </c>
      <c r="H94" s="11"/>
      <c r="I94" s="11"/>
      <c r="J94" s="11"/>
      <c r="K94" s="11"/>
      <c r="L94" s="1"/>
      <c r="M94" s="1"/>
    </row>
    <row r="95" spans="1:13" x14ac:dyDescent="0.3">
      <c r="A95" s="1"/>
      <c r="B95" s="1"/>
      <c r="C95" s="1"/>
      <c r="D95" s="1"/>
      <c r="E95" s="1"/>
      <c r="F95" s="1"/>
      <c r="G95" s="11"/>
      <c r="H95" s="11"/>
      <c r="I95" s="11"/>
      <c r="J95" s="11"/>
      <c r="K95" s="11"/>
      <c r="L95" s="1"/>
      <c r="M95" s="1"/>
    </row>
    <row r="96" spans="1:13" x14ac:dyDescent="0.3">
      <c r="A96" s="1"/>
      <c r="B96" s="1"/>
      <c r="C96" s="1"/>
      <c r="D96" s="1"/>
      <c r="E96" s="1"/>
      <c r="F96" s="1"/>
      <c r="G96" s="11"/>
      <c r="H96" s="11"/>
      <c r="I96" s="11"/>
      <c r="J96" s="11"/>
      <c r="K96" s="11"/>
      <c r="L96" s="1"/>
      <c r="M96" s="1"/>
    </row>
    <row r="97" spans="1:14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9" spans="1:14" ht="21" x14ac:dyDescent="0.4">
      <c r="A99" s="21" t="s">
        <v>86</v>
      </c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</row>
    <row r="100" spans="1:14" x14ac:dyDescent="0.3">
      <c r="A100" s="22" t="s">
        <v>1</v>
      </c>
      <c r="B100" s="22"/>
      <c r="C100" s="22"/>
      <c r="D100" s="22"/>
      <c r="E100" s="22"/>
      <c r="F100" s="22"/>
      <c r="G100" s="22" t="s">
        <v>12</v>
      </c>
      <c r="H100" s="22"/>
      <c r="I100" s="22"/>
      <c r="J100" s="22"/>
      <c r="K100" s="22"/>
      <c r="L100" s="22"/>
      <c r="M100" s="22"/>
      <c r="N100" s="1"/>
    </row>
    <row r="101" spans="1:14" x14ac:dyDescent="0.3">
      <c r="A101" s="15" t="s">
        <v>87</v>
      </c>
      <c r="B101" s="15"/>
      <c r="C101" s="15"/>
      <c r="D101" s="15"/>
      <c r="E101" s="15"/>
      <c r="F101" s="15"/>
      <c r="G101" s="15" t="s">
        <v>97</v>
      </c>
      <c r="H101" s="15"/>
      <c r="I101" s="15"/>
      <c r="J101" s="15"/>
      <c r="K101" s="15"/>
      <c r="L101" s="15"/>
      <c r="M101" s="15"/>
      <c r="N101" s="1"/>
    </row>
    <row r="102" spans="1:14" x14ac:dyDescent="0.3">
      <c r="A102" s="11" t="s">
        <v>88</v>
      </c>
      <c r="B102" s="11"/>
      <c r="C102" s="11"/>
      <c r="D102" s="11"/>
      <c r="E102" s="11"/>
      <c r="F102" s="11"/>
      <c r="G102" s="1" t="s">
        <v>98</v>
      </c>
      <c r="H102" s="1">
        <v>2</v>
      </c>
      <c r="I102" s="1">
        <v>4</v>
      </c>
      <c r="J102" s="1">
        <v>6</v>
      </c>
      <c r="K102" s="1">
        <v>8</v>
      </c>
      <c r="L102" s="1">
        <v>10</v>
      </c>
      <c r="M102" s="1"/>
      <c r="N102" s="1"/>
    </row>
    <row r="103" spans="1:14" x14ac:dyDescent="0.3">
      <c r="A103" s="11"/>
      <c r="B103" s="11"/>
      <c r="C103" s="11"/>
      <c r="D103" s="11"/>
      <c r="E103" s="11"/>
      <c r="F103" s="11"/>
      <c r="G103" s="1" t="s">
        <v>100</v>
      </c>
      <c r="H103" s="1">
        <f>QUARTILE(H102:L102,1)</f>
        <v>4</v>
      </c>
      <c r="I103" s="1"/>
      <c r="J103" s="1"/>
      <c r="K103" s="1"/>
      <c r="L103" s="1"/>
      <c r="M103" s="1"/>
      <c r="N103" s="1"/>
    </row>
    <row r="104" spans="1:14" x14ac:dyDescent="0.3">
      <c r="A104" s="15" t="s">
        <v>89</v>
      </c>
      <c r="B104" s="15"/>
      <c r="C104" s="15"/>
      <c r="D104" s="15"/>
      <c r="E104" s="15"/>
      <c r="F104" s="15"/>
      <c r="G104" s="1" t="s">
        <v>99</v>
      </c>
      <c r="H104" s="1">
        <f>_xlfn.QUARTILE.INC(H102:L102,2)</f>
        <v>6</v>
      </c>
      <c r="I104" s="1"/>
      <c r="J104" s="1"/>
      <c r="K104" s="1"/>
      <c r="L104" s="1"/>
      <c r="M104" s="1"/>
      <c r="N104" s="1"/>
    </row>
    <row r="105" spans="1:14" x14ac:dyDescent="0.3">
      <c r="A105" s="11" t="s">
        <v>90</v>
      </c>
      <c r="B105" s="11"/>
      <c r="C105" s="11"/>
      <c r="D105" s="11"/>
      <c r="E105" s="11"/>
      <c r="F105" s="11"/>
      <c r="G105" s="1" t="s">
        <v>101</v>
      </c>
      <c r="H105" s="1">
        <f>_xlfn.QUARTILE.INC(H102:L102,3)</f>
        <v>8</v>
      </c>
      <c r="I105" s="1"/>
      <c r="J105" s="1"/>
      <c r="K105" s="1"/>
      <c r="L105" s="1"/>
      <c r="M105" s="1"/>
      <c r="N105" s="1"/>
    </row>
    <row r="106" spans="1:14" x14ac:dyDescent="0.3">
      <c r="A106" s="11"/>
      <c r="B106" s="11"/>
      <c r="C106" s="11"/>
      <c r="D106" s="11"/>
      <c r="E106" s="11"/>
      <c r="F106" s="11"/>
      <c r="G106" s="15" t="s">
        <v>102</v>
      </c>
      <c r="H106" s="15"/>
      <c r="I106" s="15"/>
      <c r="J106" s="15"/>
      <c r="K106" s="15"/>
      <c r="L106" s="15"/>
      <c r="M106" s="15"/>
      <c r="N106" s="1"/>
    </row>
    <row r="107" spans="1:14" x14ac:dyDescent="0.3">
      <c r="A107" s="15" t="s">
        <v>91</v>
      </c>
      <c r="B107" s="15"/>
      <c r="C107" s="15"/>
      <c r="D107" s="15"/>
      <c r="E107" s="15"/>
      <c r="F107" s="15"/>
      <c r="G107" s="1" t="s">
        <v>103</v>
      </c>
      <c r="H107" s="1">
        <f>H105-H103</f>
        <v>4</v>
      </c>
      <c r="I107" s="1"/>
      <c r="J107" s="1"/>
      <c r="K107" s="1"/>
      <c r="L107" s="1"/>
      <c r="M107" s="1"/>
      <c r="N107" s="1"/>
    </row>
    <row r="108" spans="1:14" ht="14.4" customHeight="1" x14ac:dyDescent="0.3">
      <c r="A108" s="11" t="s">
        <v>92</v>
      </c>
      <c r="B108" s="11"/>
      <c r="C108" s="11"/>
      <c r="D108" s="11"/>
      <c r="E108" s="11"/>
      <c r="F108" s="11"/>
      <c r="G108" s="15" t="s">
        <v>104</v>
      </c>
      <c r="H108" s="15"/>
      <c r="I108" s="15"/>
      <c r="J108" s="15"/>
      <c r="K108" s="15"/>
      <c r="L108" s="15"/>
      <c r="M108" s="15"/>
      <c r="N108" s="1"/>
    </row>
    <row r="109" spans="1:14" x14ac:dyDescent="0.3">
      <c r="A109" s="11"/>
      <c r="B109" s="11"/>
      <c r="C109" s="11"/>
      <c r="D109" s="11"/>
      <c r="E109" s="11"/>
      <c r="F109" s="11"/>
      <c r="G109" s="1" t="s">
        <v>103</v>
      </c>
      <c r="H109" s="1">
        <f>H105-H103</f>
        <v>4</v>
      </c>
      <c r="I109" s="1"/>
      <c r="J109" s="1"/>
      <c r="K109" s="1"/>
      <c r="L109" s="1"/>
      <c r="M109" s="1"/>
      <c r="N109" s="1"/>
    </row>
    <row r="110" spans="1:14" x14ac:dyDescent="0.3">
      <c r="A110" s="15" t="s">
        <v>93</v>
      </c>
      <c r="B110" s="15"/>
      <c r="C110" s="15"/>
      <c r="D110" s="15"/>
      <c r="E110" s="15"/>
      <c r="F110" s="15"/>
      <c r="G110" s="1" t="s">
        <v>105</v>
      </c>
      <c r="H110" s="1">
        <f>H103-1.5*(H109)</f>
        <v>-2</v>
      </c>
      <c r="I110" s="1"/>
      <c r="J110" s="1"/>
      <c r="K110" s="1"/>
      <c r="L110" s="1"/>
      <c r="M110" s="1"/>
      <c r="N110" s="1"/>
    </row>
    <row r="111" spans="1:14" x14ac:dyDescent="0.3">
      <c r="A111" s="11" t="s">
        <v>94</v>
      </c>
      <c r="B111" s="11"/>
      <c r="C111" s="11"/>
      <c r="D111" s="11"/>
      <c r="E111" s="11"/>
      <c r="F111" s="11"/>
      <c r="G111" s="1" t="s">
        <v>106</v>
      </c>
      <c r="H111" s="1">
        <f>H105+1.5*(H109)</f>
        <v>14</v>
      </c>
      <c r="I111" s="1"/>
      <c r="J111" s="1"/>
      <c r="K111" s="1"/>
      <c r="L111" s="1"/>
      <c r="M111" s="1"/>
      <c r="N111" s="1"/>
    </row>
    <row r="112" spans="1:14" x14ac:dyDescent="0.3">
      <c r="A112" s="11"/>
      <c r="B112" s="11"/>
      <c r="C112" s="11"/>
      <c r="D112" s="11"/>
      <c r="E112" s="11"/>
      <c r="F112" s="11"/>
      <c r="G112" s="15" t="s">
        <v>107</v>
      </c>
      <c r="H112" s="15"/>
      <c r="I112" s="15"/>
      <c r="J112" s="15"/>
      <c r="K112" s="15"/>
      <c r="L112" s="15"/>
      <c r="M112" s="1"/>
      <c r="N112" s="1"/>
    </row>
    <row r="113" spans="1:14" x14ac:dyDescent="0.3">
      <c r="A113" s="15" t="s">
        <v>95</v>
      </c>
      <c r="B113" s="15"/>
      <c r="C113" s="15"/>
      <c r="D113" s="15"/>
      <c r="E113" s="15"/>
      <c r="F113" s="15"/>
      <c r="G113" s="1" t="s">
        <v>108</v>
      </c>
      <c r="H113" s="1">
        <f>_xlfn.PERCENTILE.INC(H102:L102,0.9)</f>
        <v>9.1999999999999993</v>
      </c>
      <c r="I113" s="1"/>
      <c r="J113" s="1"/>
      <c r="K113" s="1"/>
      <c r="L113" s="1"/>
      <c r="M113" s="1"/>
      <c r="N113" s="1"/>
    </row>
    <row r="114" spans="1:14" x14ac:dyDescent="0.3">
      <c r="A114" s="11" t="s">
        <v>96</v>
      </c>
      <c r="B114" s="11"/>
      <c r="C114" s="11"/>
      <c r="D114" s="11"/>
      <c r="E114" s="11"/>
      <c r="F114" s="11"/>
      <c r="G114" s="15" t="s">
        <v>109</v>
      </c>
      <c r="H114" s="15"/>
      <c r="I114" s="15"/>
      <c r="J114" s="15"/>
      <c r="K114" s="15"/>
      <c r="L114" s="15"/>
      <c r="M114" s="1"/>
      <c r="N114" s="1"/>
    </row>
    <row r="115" spans="1:14" x14ac:dyDescent="0.3">
      <c r="A115" s="11"/>
      <c r="B115" s="11"/>
      <c r="C115" s="11"/>
      <c r="D115" s="11"/>
      <c r="E115" s="11"/>
      <c r="F115" s="11"/>
      <c r="G115" s="1"/>
      <c r="H115" s="1"/>
      <c r="I115" s="1"/>
      <c r="J115" s="1"/>
      <c r="K115" s="1"/>
      <c r="L115" s="1"/>
      <c r="M115" s="1"/>
      <c r="N115" s="1"/>
    </row>
    <row r="133" spans="1:15" ht="18" x14ac:dyDescent="0.35">
      <c r="A133" s="23" t="s">
        <v>110</v>
      </c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</row>
    <row r="134" spans="1:15" x14ac:dyDescent="0.3">
      <c r="A134" s="15" t="s">
        <v>111</v>
      </c>
      <c r="B134" s="15"/>
      <c r="C134" s="15"/>
      <c r="D134" s="15"/>
      <c r="E134" s="15"/>
      <c r="F134" s="15"/>
      <c r="G134" s="15" t="s">
        <v>121</v>
      </c>
      <c r="H134" s="15"/>
      <c r="I134" s="15"/>
      <c r="J134" s="15"/>
      <c r="K134" s="15"/>
      <c r="L134" s="15"/>
      <c r="M134" s="15"/>
      <c r="N134" s="4"/>
      <c r="O134" s="4"/>
    </row>
    <row r="135" spans="1:15" x14ac:dyDescent="0.3">
      <c r="A135" s="11" t="s">
        <v>112</v>
      </c>
      <c r="B135" s="11"/>
      <c r="C135" s="11"/>
      <c r="D135" s="11"/>
      <c r="E135" s="11"/>
      <c r="F135" s="11"/>
      <c r="G135" s="4" t="s">
        <v>122</v>
      </c>
      <c r="H135" s="4" t="s">
        <v>123</v>
      </c>
      <c r="I135" s="4"/>
      <c r="J135" s="4"/>
      <c r="K135" s="4"/>
      <c r="L135" s="4"/>
      <c r="M135" s="4"/>
      <c r="N135" s="4"/>
      <c r="O135" s="4"/>
    </row>
    <row r="136" spans="1:15" x14ac:dyDescent="0.3">
      <c r="A136" s="11"/>
      <c r="B136" s="11"/>
      <c r="C136" s="11"/>
      <c r="D136" s="11"/>
      <c r="E136" s="11"/>
      <c r="F136" s="11"/>
      <c r="G136" s="4" t="s">
        <v>124</v>
      </c>
      <c r="H136" s="4">
        <f>1/6</f>
        <v>0.16666666666666666</v>
      </c>
      <c r="I136" s="4"/>
      <c r="J136" s="4"/>
      <c r="K136" s="4"/>
      <c r="L136" s="4"/>
      <c r="M136" s="4"/>
      <c r="N136" s="4"/>
      <c r="O136" s="4"/>
    </row>
    <row r="137" spans="1:15" x14ac:dyDescent="0.3">
      <c r="A137" s="15" t="s">
        <v>113</v>
      </c>
      <c r="B137" s="15"/>
      <c r="C137" s="15"/>
      <c r="D137" s="15"/>
      <c r="E137" s="15"/>
      <c r="F137" s="15"/>
      <c r="G137" s="15" t="s">
        <v>125</v>
      </c>
      <c r="H137" s="15"/>
      <c r="I137" s="15"/>
      <c r="J137" s="15"/>
      <c r="K137" s="4"/>
      <c r="L137" s="4"/>
      <c r="M137" s="4"/>
      <c r="N137" s="4"/>
      <c r="O137" s="4"/>
    </row>
    <row r="138" spans="1:15" ht="21" customHeight="1" x14ac:dyDescent="0.3">
      <c r="A138" s="11" t="s">
        <v>114</v>
      </c>
      <c r="B138" s="11"/>
      <c r="C138" s="11"/>
      <c r="D138" s="11"/>
      <c r="E138" s="11"/>
      <c r="F138" s="11"/>
      <c r="G138" s="4" t="s">
        <v>126</v>
      </c>
      <c r="H138" s="4" t="s">
        <v>127</v>
      </c>
      <c r="I138" s="4" t="s">
        <v>128</v>
      </c>
      <c r="J138" s="4"/>
      <c r="K138" s="4"/>
      <c r="L138" s="4"/>
      <c r="M138" s="4"/>
      <c r="N138" s="4"/>
      <c r="O138" s="4"/>
    </row>
    <row r="139" spans="1:15" x14ac:dyDescent="0.3">
      <c r="A139" s="15" t="s">
        <v>115</v>
      </c>
      <c r="B139" s="15"/>
      <c r="C139" s="15"/>
      <c r="D139" s="15"/>
      <c r="E139" s="15"/>
      <c r="F139" s="15"/>
      <c r="G139" s="4" t="s">
        <v>129</v>
      </c>
      <c r="H139" s="4">
        <v>6</v>
      </c>
      <c r="I139" s="4"/>
      <c r="J139" s="4"/>
      <c r="K139" s="4"/>
      <c r="L139" s="4"/>
      <c r="M139" s="4"/>
      <c r="N139" s="4"/>
      <c r="O139" s="4"/>
    </row>
    <row r="140" spans="1:15" ht="14.4" customHeight="1" x14ac:dyDescent="0.3">
      <c r="A140" s="11" t="s">
        <v>116</v>
      </c>
      <c r="B140" s="11"/>
      <c r="C140" s="11"/>
      <c r="D140" s="11"/>
      <c r="E140" s="11"/>
      <c r="F140" s="11"/>
      <c r="G140" s="4" t="s">
        <v>126</v>
      </c>
      <c r="H140" s="4">
        <f>3/6</f>
        <v>0.5</v>
      </c>
      <c r="I140" s="4"/>
      <c r="J140" s="4"/>
      <c r="K140" s="4"/>
      <c r="L140" s="4"/>
      <c r="M140" s="4"/>
      <c r="N140" s="4"/>
      <c r="O140" s="4"/>
    </row>
    <row r="141" spans="1:15" x14ac:dyDescent="0.3">
      <c r="A141" s="11"/>
      <c r="B141" s="11"/>
      <c r="C141" s="11"/>
      <c r="D141" s="11"/>
      <c r="E141" s="11"/>
      <c r="F141" s="11"/>
      <c r="G141" s="15" t="s">
        <v>130</v>
      </c>
      <c r="H141" s="15"/>
      <c r="I141" s="15"/>
      <c r="J141" s="15"/>
      <c r="K141" s="4"/>
      <c r="L141" s="4"/>
      <c r="M141" s="4"/>
      <c r="N141" s="4"/>
      <c r="O141" s="4"/>
    </row>
    <row r="142" spans="1:15" x14ac:dyDescent="0.3">
      <c r="A142" s="15" t="s">
        <v>117</v>
      </c>
      <c r="B142" s="15"/>
      <c r="C142" s="15"/>
      <c r="D142" s="15"/>
      <c r="E142" s="15"/>
      <c r="F142" s="15"/>
      <c r="G142" s="4" t="s">
        <v>131</v>
      </c>
      <c r="H142" s="4">
        <f>60/200</f>
        <v>0.3</v>
      </c>
      <c r="I142" s="4"/>
      <c r="J142" s="4"/>
      <c r="K142" s="4"/>
      <c r="L142" s="4"/>
      <c r="M142" s="4"/>
      <c r="N142" s="4"/>
      <c r="O142" s="4"/>
    </row>
    <row r="143" spans="1:15" ht="14.4" customHeight="1" x14ac:dyDescent="0.3">
      <c r="A143" s="11" t="s">
        <v>118</v>
      </c>
      <c r="B143" s="11"/>
      <c r="C143" s="11"/>
      <c r="D143" s="11"/>
      <c r="E143" s="11"/>
      <c r="F143" s="11"/>
      <c r="G143" s="15" t="s">
        <v>132</v>
      </c>
      <c r="H143" s="15"/>
      <c r="I143" s="15"/>
      <c r="J143" s="15"/>
      <c r="K143" s="4"/>
      <c r="L143" s="4"/>
      <c r="M143" s="4"/>
      <c r="N143" s="4"/>
      <c r="O143" s="4"/>
    </row>
    <row r="144" spans="1:15" x14ac:dyDescent="0.3">
      <c r="A144" s="15" t="s">
        <v>119</v>
      </c>
      <c r="B144" s="15"/>
      <c r="C144" s="15"/>
      <c r="D144" s="15"/>
      <c r="E144" s="15"/>
      <c r="F144" s="15"/>
      <c r="G144" s="6" t="s">
        <v>133</v>
      </c>
      <c r="H144" s="6" t="s">
        <v>134</v>
      </c>
      <c r="I144" s="6"/>
      <c r="J144" s="4"/>
      <c r="K144" s="4"/>
      <c r="L144" s="4"/>
      <c r="M144" s="4"/>
      <c r="N144" s="4"/>
      <c r="O144" s="4"/>
    </row>
    <row r="145" spans="1:15" x14ac:dyDescent="0.3">
      <c r="A145" s="11" t="s">
        <v>120</v>
      </c>
      <c r="B145" s="11"/>
      <c r="C145" s="11"/>
      <c r="D145" s="11"/>
      <c r="E145" s="11"/>
      <c r="F145" s="11"/>
      <c r="G145" s="8" t="s">
        <v>135</v>
      </c>
      <c r="H145" s="8">
        <v>0.4</v>
      </c>
      <c r="I145" s="8"/>
      <c r="J145" s="4"/>
      <c r="K145" s="4"/>
      <c r="L145" s="4"/>
      <c r="M145" s="4"/>
      <c r="N145" s="4"/>
      <c r="O145" s="4"/>
    </row>
    <row r="146" spans="1:15" x14ac:dyDescent="0.3">
      <c r="A146" s="1"/>
      <c r="B146" s="1"/>
      <c r="C146" s="1"/>
      <c r="D146" s="1"/>
      <c r="E146" s="1"/>
      <c r="F146" s="1"/>
      <c r="G146" s="8" t="s">
        <v>136</v>
      </c>
      <c r="H146" s="8">
        <v>0.3</v>
      </c>
      <c r="I146" s="8"/>
      <c r="J146" s="4"/>
      <c r="K146" s="4"/>
      <c r="L146" s="4"/>
      <c r="M146" s="4"/>
      <c r="N146" s="4"/>
      <c r="O146" s="4"/>
    </row>
    <row r="147" spans="1:15" x14ac:dyDescent="0.3">
      <c r="A147" s="1"/>
      <c r="B147" s="1"/>
      <c r="C147" s="1"/>
      <c r="D147" s="1"/>
      <c r="E147" s="1"/>
      <c r="F147" s="1"/>
      <c r="G147" s="8" t="s">
        <v>137</v>
      </c>
      <c r="H147" s="8">
        <v>0.1</v>
      </c>
      <c r="I147" s="8"/>
      <c r="J147" s="4"/>
      <c r="K147" s="4"/>
      <c r="L147" s="4"/>
      <c r="M147" s="4"/>
      <c r="N147" s="4"/>
      <c r="O147" s="4"/>
    </row>
    <row r="148" spans="1:15" x14ac:dyDescent="0.3">
      <c r="A148" s="1"/>
      <c r="B148" s="1"/>
      <c r="C148" s="1"/>
      <c r="D148" s="1"/>
      <c r="E148" s="1"/>
      <c r="F148" s="1"/>
      <c r="G148" s="8"/>
      <c r="H148" s="8"/>
      <c r="I148" s="8"/>
      <c r="J148" s="4"/>
      <c r="K148" s="4"/>
      <c r="L148" s="4"/>
      <c r="M148" s="4"/>
      <c r="N148" s="4"/>
      <c r="O148" s="4"/>
    </row>
    <row r="149" spans="1:15" x14ac:dyDescent="0.3">
      <c r="A149" s="1"/>
      <c r="B149" s="1"/>
      <c r="C149" s="1"/>
      <c r="D149" s="1"/>
      <c r="E149" s="1"/>
      <c r="F149" s="1"/>
      <c r="G149" s="8" t="s">
        <v>138</v>
      </c>
      <c r="H149" s="4">
        <f>H145+H146-H147</f>
        <v>0.6</v>
      </c>
      <c r="I149" s="4"/>
      <c r="J149" s="4"/>
      <c r="K149" s="4"/>
      <c r="L149" s="4"/>
      <c r="M149" s="4"/>
      <c r="N149" s="4"/>
      <c r="O149" s="4"/>
    </row>
    <row r="150" spans="1:15" x14ac:dyDescent="0.3">
      <c r="A150" s="1"/>
      <c r="B150" s="1"/>
      <c r="C150" s="1"/>
      <c r="D150" s="1"/>
      <c r="E150" s="1"/>
      <c r="F150" s="1"/>
      <c r="G150" s="4"/>
      <c r="H150" s="4"/>
      <c r="I150" s="4"/>
      <c r="J150" s="4"/>
      <c r="K150" s="4"/>
      <c r="L150" s="4"/>
      <c r="M150" s="4"/>
      <c r="N150" s="4"/>
      <c r="O150" s="4"/>
    </row>
    <row r="151" spans="1:15" x14ac:dyDescent="0.3">
      <c r="A151" s="1"/>
      <c r="B151" s="1"/>
      <c r="C151" s="1"/>
      <c r="D151" s="1"/>
      <c r="E151" s="1"/>
      <c r="F151" s="1"/>
      <c r="G151" s="15" t="s">
        <v>139</v>
      </c>
      <c r="H151" s="15"/>
      <c r="I151" s="15"/>
      <c r="J151" s="15"/>
      <c r="K151" s="4"/>
      <c r="L151" s="4"/>
      <c r="M151" s="4"/>
      <c r="N151" s="4"/>
      <c r="O151" s="4"/>
    </row>
    <row r="152" spans="1:15" x14ac:dyDescent="0.3">
      <c r="A152" s="1"/>
      <c r="B152" s="1"/>
      <c r="C152" s="1"/>
      <c r="D152" s="1"/>
      <c r="E152" s="1"/>
      <c r="F152" s="1"/>
      <c r="G152" s="6" t="s">
        <v>133</v>
      </c>
      <c r="H152" s="6" t="s">
        <v>140</v>
      </c>
      <c r="I152" s="1"/>
      <c r="J152" s="1"/>
      <c r="K152" s="1"/>
      <c r="L152" s="1"/>
      <c r="M152" s="1"/>
      <c r="N152" s="1"/>
      <c r="O152" s="1"/>
    </row>
    <row r="153" spans="1:15" x14ac:dyDescent="0.3">
      <c r="A153" s="1"/>
      <c r="B153" s="1"/>
      <c r="C153" s="1"/>
      <c r="D153" s="1"/>
      <c r="E153" s="1"/>
      <c r="F153" s="1"/>
      <c r="G153" s="8" t="s">
        <v>141</v>
      </c>
      <c r="H153" s="8">
        <v>40</v>
      </c>
      <c r="I153" s="1"/>
      <c r="J153" s="1"/>
      <c r="K153" s="1"/>
      <c r="L153" s="1"/>
      <c r="M153" s="1"/>
      <c r="N153" s="1"/>
      <c r="O153" s="1"/>
    </row>
    <row r="154" spans="1:15" ht="15" customHeight="1" x14ac:dyDescent="0.3">
      <c r="A154" s="1"/>
      <c r="B154" s="1"/>
      <c r="C154" s="1"/>
      <c r="D154" s="1"/>
      <c r="E154" s="1"/>
      <c r="F154" s="1"/>
      <c r="G154" s="8" t="s">
        <v>142</v>
      </c>
      <c r="H154" s="8">
        <v>25</v>
      </c>
      <c r="I154" s="1"/>
      <c r="J154" s="1"/>
      <c r="K154" s="1"/>
      <c r="L154" s="1"/>
      <c r="M154" s="1"/>
      <c r="N154" s="1"/>
      <c r="O154" s="1"/>
    </row>
    <row r="155" spans="1:15" x14ac:dyDescent="0.3">
      <c r="A155" s="1"/>
      <c r="B155" s="1"/>
      <c r="C155" s="1"/>
      <c r="D155" s="1"/>
      <c r="E155" s="1"/>
      <c r="F155" s="1"/>
      <c r="G155" s="8" t="s">
        <v>143</v>
      </c>
      <c r="H155" s="8">
        <v>15</v>
      </c>
      <c r="I155" s="1"/>
      <c r="J155" s="1"/>
      <c r="K155" s="1"/>
      <c r="L155" s="1"/>
      <c r="M155" s="1"/>
      <c r="N155" s="1"/>
      <c r="O155" s="1"/>
    </row>
    <row r="156" spans="1:1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x14ac:dyDescent="0.3">
      <c r="A157" s="1"/>
      <c r="B157" s="1"/>
      <c r="C157" s="1"/>
      <c r="D157" s="1"/>
      <c r="E157" s="1"/>
      <c r="F157" s="1"/>
      <c r="G157" s="8" t="s">
        <v>144</v>
      </c>
      <c r="H157" s="1">
        <f>H155/H153</f>
        <v>0.375</v>
      </c>
      <c r="I157" s="1"/>
      <c r="J157" s="1"/>
      <c r="K157" s="1"/>
      <c r="L157" s="1"/>
      <c r="M157" s="1"/>
      <c r="N157" s="1"/>
      <c r="O157" s="1"/>
    </row>
    <row r="158" spans="1:15" x14ac:dyDescent="0.3">
      <c r="A158" s="1"/>
      <c r="B158" s="1"/>
      <c r="C158" s="1"/>
      <c r="D158" s="1"/>
      <c r="E158" s="1"/>
      <c r="F158" s="1"/>
      <c r="I158" s="1"/>
      <c r="J158" s="1"/>
      <c r="K158" s="1"/>
      <c r="L158" s="1"/>
      <c r="M158" s="1"/>
      <c r="N158" s="1"/>
      <c r="O158" s="1"/>
    </row>
    <row r="159" spans="1:1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2" spans="1:10" ht="18" x14ac:dyDescent="0.35">
      <c r="A162" s="13" t="s">
        <v>147</v>
      </c>
      <c r="B162" s="13"/>
      <c r="C162" s="13"/>
      <c r="D162" s="13"/>
      <c r="E162" s="13"/>
      <c r="F162" s="13"/>
      <c r="G162" s="13"/>
      <c r="H162" s="13"/>
      <c r="I162" s="13"/>
      <c r="J162" s="1"/>
    </row>
    <row r="163" spans="1:10" x14ac:dyDescent="0.3">
      <c r="A163" s="12" t="s">
        <v>1</v>
      </c>
      <c r="B163" s="12"/>
      <c r="C163" s="12"/>
      <c r="D163" s="12"/>
      <c r="E163" s="12"/>
      <c r="F163" s="12"/>
      <c r="G163" s="12" t="s">
        <v>12</v>
      </c>
      <c r="H163" s="12"/>
      <c r="I163" s="12"/>
      <c r="J163" s="12"/>
    </row>
    <row r="164" spans="1:10" x14ac:dyDescent="0.3">
      <c r="A164" s="10" t="s">
        <v>148</v>
      </c>
      <c r="B164" s="10"/>
      <c r="C164" s="10"/>
      <c r="D164" s="10"/>
      <c r="E164" s="10"/>
      <c r="F164" s="10"/>
      <c r="G164" s="10" t="s">
        <v>158</v>
      </c>
      <c r="H164" s="10"/>
      <c r="I164" s="10"/>
      <c r="J164" s="1"/>
    </row>
    <row r="165" spans="1:10" x14ac:dyDescent="0.3">
      <c r="A165" s="11" t="s">
        <v>149</v>
      </c>
      <c r="B165" s="11"/>
      <c r="C165" s="11"/>
      <c r="D165" s="11"/>
      <c r="E165" s="11"/>
      <c r="F165" s="11"/>
      <c r="G165" s="1" t="s">
        <v>137</v>
      </c>
      <c r="H165" s="1">
        <v>0.2</v>
      </c>
      <c r="I165" s="1"/>
      <c r="J165" s="1"/>
    </row>
    <row r="166" spans="1:10" x14ac:dyDescent="0.3">
      <c r="A166" s="11"/>
      <c r="B166" s="11"/>
      <c r="C166" s="11"/>
      <c r="D166" s="11"/>
      <c r="E166" s="11"/>
      <c r="F166" s="11"/>
      <c r="G166" s="1" t="s">
        <v>136</v>
      </c>
      <c r="H166" s="1">
        <v>0.5</v>
      </c>
      <c r="I166" s="1"/>
      <c r="J166" s="1"/>
    </row>
    <row r="167" spans="1:10" x14ac:dyDescent="0.3">
      <c r="A167" s="10" t="s">
        <v>150</v>
      </c>
      <c r="B167" s="10"/>
      <c r="C167" s="10"/>
      <c r="D167" s="10"/>
      <c r="E167" s="10"/>
      <c r="F167" s="10"/>
      <c r="G167" s="1" t="s">
        <v>159</v>
      </c>
      <c r="H167" s="1">
        <f>H165/H166</f>
        <v>0.4</v>
      </c>
      <c r="I167" s="1"/>
      <c r="J167" s="1"/>
    </row>
    <row r="168" spans="1:10" x14ac:dyDescent="0.3">
      <c r="A168" s="12" t="s">
        <v>151</v>
      </c>
      <c r="B168" s="12"/>
      <c r="C168" s="12"/>
      <c r="D168" s="12"/>
      <c r="E168" s="12"/>
      <c r="F168" s="12"/>
      <c r="G168" s="10" t="s">
        <v>160</v>
      </c>
      <c r="H168" s="10"/>
      <c r="I168" s="10"/>
      <c r="J168" s="1"/>
    </row>
    <row r="169" spans="1:10" x14ac:dyDescent="0.3">
      <c r="A169" s="10" t="s">
        <v>152</v>
      </c>
      <c r="B169" s="10"/>
      <c r="C169" s="10"/>
      <c r="D169" s="10"/>
      <c r="E169" s="10"/>
      <c r="F169" s="10"/>
      <c r="G169" s="6" t="s">
        <v>161</v>
      </c>
      <c r="H169" s="6" t="s">
        <v>162</v>
      </c>
      <c r="I169" s="1"/>
      <c r="J169" s="1"/>
    </row>
    <row r="170" spans="1:10" x14ac:dyDescent="0.3">
      <c r="A170" s="12" t="s">
        <v>153</v>
      </c>
      <c r="B170" s="12"/>
      <c r="C170" s="12"/>
      <c r="D170" s="12"/>
      <c r="E170" s="12"/>
      <c r="F170" s="1"/>
      <c r="G170" s="8" t="s">
        <v>135</v>
      </c>
      <c r="H170" s="8">
        <v>0.3</v>
      </c>
      <c r="I170" s="1"/>
      <c r="J170" s="1"/>
    </row>
    <row r="171" spans="1:10" x14ac:dyDescent="0.3">
      <c r="A171" s="10" t="s">
        <v>154</v>
      </c>
      <c r="B171" s="10"/>
      <c r="C171" s="10"/>
      <c r="D171" s="10"/>
      <c r="E171" s="10"/>
      <c r="F171" s="10"/>
      <c r="G171" s="8" t="s">
        <v>163</v>
      </c>
      <c r="H171" s="8">
        <v>0.6</v>
      </c>
      <c r="I171" s="1"/>
      <c r="J171" s="1"/>
    </row>
    <row r="172" spans="1:10" x14ac:dyDescent="0.3">
      <c r="A172" s="11" t="s">
        <v>155</v>
      </c>
      <c r="B172" s="11"/>
      <c r="C172" s="11"/>
      <c r="D172" s="11"/>
      <c r="E172" s="11"/>
      <c r="F172" s="11"/>
      <c r="G172" s="8" t="s">
        <v>136</v>
      </c>
      <c r="H172" s="8">
        <v>0.5</v>
      </c>
      <c r="I172" s="1"/>
      <c r="J172" s="1"/>
    </row>
    <row r="173" spans="1:10" x14ac:dyDescent="0.3">
      <c r="A173" s="11"/>
      <c r="B173" s="11"/>
      <c r="C173" s="11"/>
      <c r="D173" s="11"/>
      <c r="E173" s="11"/>
      <c r="F173" s="11"/>
      <c r="G173" s="9" t="s">
        <v>159</v>
      </c>
      <c r="H173" s="9">
        <f>(H171*H170)/H172</f>
        <v>0.36</v>
      </c>
      <c r="I173" s="1"/>
      <c r="J173" s="1"/>
    </row>
    <row r="174" spans="1:10" x14ac:dyDescent="0.3">
      <c r="A174" s="10" t="s">
        <v>156</v>
      </c>
      <c r="B174" s="10"/>
      <c r="C174" s="10"/>
      <c r="D174" s="10"/>
      <c r="E174" s="10"/>
      <c r="F174" s="10"/>
      <c r="G174" s="10" t="s">
        <v>164</v>
      </c>
      <c r="H174" s="10"/>
      <c r="I174" s="10"/>
      <c r="J174" s="1"/>
    </row>
    <row r="175" spans="1:10" x14ac:dyDescent="0.3">
      <c r="A175" s="12" t="s">
        <v>157</v>
      </c>
      <c r="B175" s="12"/>
      <c r="C175" s="12"/>
      <c r="D175" s="12"/>
      <c r="E175" s="12"/>
      <c r="F175" s="12"/>
      <c r="G175" s="12" t="s">
        <v>165</v>
      </c>
      <c r="H175" s="12"/>
      <c r="I175" s="12" t="s">
        <v>170</v>
      </c>
      <c r="J175" s="12"/>
    </row>
    <row r="176" spans="1:10" x14ac:dyDescent="0.3">
      <c r="A176" s="1"/>
      <c r="B176" s="1"/>
      <c r="C176" s="1"/>
      <c r="D176" s="1"/>
      <c r="E176" s="1"/>
      <c r="F176" s="1"/>
      <c r="G176" s="6" t="s">
        <v>166</v>
      </c>
      <c r="H176" s="6" t="s">
        <v>134</v>
      </c>
      <c r="I176" s="6" t="s">
        <v>161</v>
      </c>
      <c r="J176" s="6" t="s">
        <v>162</v>
      </c>
    </row>
    <row r="177" spans="1:11" x14ac:dyDescent="0.3">
      <c r="A177" s="1"/>
      <c r="B177" s="1"/>
      <c r="C177" s="1"/>
      <c r="D177" s="1"/>
      <c r="E177" s="1"/>
      <c r="F177" s="1"/>
      <c r="G177" s="8" t="s">
        <v>167</v>
      </c>
      <c r="H177" s="8">
        <v>0.01</v>
      </c>
      <c r="I177" s="8" t="s">
        <v>167</v>
      </c>
      <c r="J177" s="8">
        <v>0.01</v>
      </c>
    </row>
    <row r="178" spans="1:11" x14ac:dyDescent="0.3">
      <c r="A178" s="1"/>
      <c r="B178" s="1"/>
      <c r="C178" s="1"/>
      <c r="D178" s="1"/>
      <c r="E178" s="1"/>
      <c r="F178" s="1"/>
      <c r="G178" s="8" t="s">
        <v>168</v>
      </c>
      <c r="H178" s="8">
        <v>0.95</v>
      </c>
      <c r="I178" s="8" t="s">
        <v>171</v>
      </c>
      <c r="J178" s="8">
        <f>1-J177</f>
        <v>0.99</v>
      </c>
    </row>
    <row r="179" spans="1:11" ht="13.2" customHeight="1" x14ac:dyDescent="0.3">
      <c r="A179" s="1"/>
      <c r="B179" s="1"/>
      <c r="C179" s="1"/>
      <c r="D179" s="1"/>
      <c r="E179" s="1"/>
      <c r="F179" s="1"/>
      <c r="G179" s="8" t="s">
        <v>169</v>
      </c>
      <c r="H179" s="8">
        <v>0.05</v>
      </c>
      <c r="I179" s="8" t="s">
        <v>172</v>
      </c>
      <c r="J179" s="8">
        <v>0.95</v>
      </c>
    </row>
    <row r="180" spans="1:11" x14ac:dyDescent="0.3">
      <c r="A180" s="1"/>
      <c r="B180" s="1"/>
      <c r="C180" s="1"/>
      <c r="D180" s="1"/>
      <c r="E180" s="1"/>
      <c r="F180" s="1"/>
      <c r="G180" s="1"/>
      <c r="H180" s="1"/>
      <c r="I180" s="8" t="s">
        <v>173</v>
      </c>
      <c r="J180" s="8">
        <v>0.05</v>
      </c>
    </row>
    <row r="181" spans="1:11" x14ac:dyDescent="0.3">
      <c r="A181" s="1"/>
      <c r="B181" s="1"/>
      <c r="C181" s="1"/>
      <c r="D181" s="1"/>
      <c r="E181" s="1"/>
      <c r="F181" s="1"/>
      <c r="G181" s="1"/>
      <c r="H181" s="1"/>
      <c r="I181" s="8" t="s">
        <v>174</v>
      </c>
      <c r="J181" s="8">
        <f>(J179*J177)+(J180*J178)</f>
        <v>5.9000000000000004E-2</v>
      </c>
    </row>
    <row r="182" spans="1:11" x14ac:dyDescent="0.3">
      <c r="A182" s="1"/>
      <c r="B182" s="1"/>
      <c r="C182" s="1"/>
      <c r="D182" s="1"/>
      <c r="E182" s="1"/>
      <c r="F182" s="1"/>
      <c r="G182" s="1"/>
      <c r="H182" s="1"/>
      <c r="I182" s="9" t="s">
        <v>175</v>
      </c>
      <c r="J182" s="3">
        <f>(J179*J177)/J181</f>
        <v>0.16101694915254236</v>
      </c>
    </row>
    <row r="183" spans="1:11" x14ac:dyDescent="0.3">
      <c r="A183" s="1"/>
      <c r="B183" s="1"/>
      <c r="C183" s="1"/>
      <c r="D183" s="1"/>
      <c r="E183" s="1"/>
      <c r="F183" s="1"/>
      <c r="G183" s="10" t="s">
        <v>176</v>
      </c>
      <c r="H183" s="10"/>
      <c r="I183" s="10"/>
      <c r="J183" s="10"/>
    </row>
    <row r="184" spans="1:11" x14ac:dyDescent="0.3">
      <c r="A184" s="1"/>
      <c r="B184" s="1"/>
      <c r="C184" s="1"/>
      <c r="D184" s="1"/>
      <c r="E184" s="1"/>
      <c r="F184" s="1"/>
      <c r="G184" s="6" t="s">
        <v>166</v>
      </c>
      <c r="H184" s="6" t="s">
        <v>134</v>
      </c>
      <c r="I184" s="6" t="s">
        <v>161</v>
      </c>
      <c r="J184" s="6" t="s">
        <v>162</v>
      </c>
    </row>
    <row r="185" spans="1:11" x14ac:dyDescent="0.3">
      <c r="A185" s="1"/>
      <c r="B185" s="1"/>
      <c r="C185" s="1"/>
      <c r="D185" s="1"/>
      <c r="E185" s="1"/>
      <c r="F185" s="1"/>
      <c r="G185" s="8" t="s">
        <v>177</v>
      </c>
      <c r="H185" s="8">
        <v>0.02</v>
      </c>
      <c r="I185" s="8" t="s">
        <v>180</v>
      </c>
      <c r="J185" s="8">
        <v>0.02</v>
      </c>
    </row>
    <row r="186" spans="1:11" x14ac:dyDescent="0.3">
      <c r="A186" s="1"/>
      <c r="B186" s="1"/>
      <c r="C186" s="1"/>
      <c r="D186" s="1"/>
      <c r="E186" s="1"/>
      <c r="F186" s="1"/>
      <c r="G186" s="8" t="s">
        <v>178</v>
      </c>
      <c r="H186" s="8">
        <v>0.9</v>
      </c>
      <c r="I186" s="8" t="s">
        <v>181</v>
      </c>
      <c r="J186" s="8">
        <f>1-J185</f>
        <v>0.98</v>
      </c>
    </row>
    <row r="187" spans="1:11" x14ac:dyDescent="0.3">
      <c r="A187" s="1"/>
      <c r="B187" s="1"/>
      <c r="C187" s="1"/>
      <c r="D187" s="1"/>
      <c r="E187" s="1"/>
      <c r="F187" s="1"/>
      <c r="G187" s="8" t="s">
        <v>179</v>
      </c>
      <c r="H187" s="8">
        <v>0.1</v>
      </c>
      <c r="I187" s="8" t="s">
        <v>178</v>
      </c>
      <c r="J187" s="8">
        <v>0.9</v>
      </c>
    </row>
    <row r="188" spans="1:11" x14ac:dyDescent="0.3">
      <c r="A188" s="1"/>
      <c r="B188" s="1"/>
      <c r="C188" s="1"/>
      <c r="D188" s="1"/>
      <c r="E188" s="1"/>
      <c r="F188" s="1"/>
      <c r="G188" s="1"/>
      <c r="H188" s="1"/>
      <c r="I188" s="8" t="s">
        <v>179</v>
      </c>
      <c r="J188" s="8">
        <v>0.1</v>
      </c>
    </row>
    <row r="189" spans="1:11" x14ac:dyDescent="0.3">
      <c r="A189" s="1"/>
      <c r="B189" s="1"/>
      <c r="C189" s="1"/>
      <c r="D189" s="1"/>
      <c r="E189" s="1"/>
      <c r="F189" s="1"/>
      <c r="G189" s="1"/>
      <c r="H189" s="1"/>
      <c r="I189" s="8" t="s">
        <v>182</v>
      </c>
      <c r="J189" s="8">
        <f>(J187*J185)+(J188*J186)</f>
        <v>0.11600000000000001</v>
      </c>
    </row>
    <row r="190" spans="1:11" x14ac:dyDescent="0.3">
      <c r="A190" s="1"/>
      <c r="B190" s="1"/>
      <c r="C190" s="1"/>
      <c r="D190" s="1"/>
      <c r="E190" s="1"/>
      <c r="F190" s="1"/>
      <c r="G190" s="1"/>
      <c r="H190" s="1"/>
      <c r="I190" s="8" t="s">
        <v>183</v>
      </c>
      <c r="J190" s="8">
        <f>(J187*J185)/J189</f>
        <v>0.15517241379310345</v>
      </c>
    </row>
    <row r="191" spans="1:11" x14ac:dyDescent="0.3">
      <c r="A191" s="1"/>
      <c r="B191" s="1"/>
      <c r="C191" s="1"/>
      <c r="D191" s="1"/>
      <c r="E191" s="1"/>
      <c r="F191" s="1"/>
      <c r="G191" s="10" t="s">
        <v>184</v>
      </c>
      <c r="H191" s="10"/>
      <c r="I191" s="10"/>
      <c r="J191" s="10"/>
    </row>
    <row r="192" spans="1:11" x14ac:dyDescent="0.3">
      <c r="A192" s="1"/>
      <c r="B192" s="1"/>
      <c r="C192" s="1"/>
      <c r="D192" s="1"/>
      <c r="E192" s="1"/>
      <c r="F192" s="1"/>
      <c r="G192" s="6" t="s">
        <v>185</v>
      </c>
      <c r="H192" s="6" t="s">
        <v>186</v>
      </c>
      <c r="I192" s="6" t="s">
        <v>187</v>
      </c>
      <c r="J192" s="6" t="s">
        <v>161</v>
      </c>
      <c r="K192" s="6" t="s">
        <v>162</v>
      </c>
    </row>
    <row r="193" spans="1:11" ht="14.4" customHeight="1" x14ac:dyDescent="0.3">
      <c r="A193" s="1"/>
      <c r="B193" s="1"/>
      <c r="C193" s="1"/>
      <c r="D193" s="1"/>
      <c r="E193" s="1"/>
      <c r="F193" s="1"/>
      <c r="G193" s="8">
        <v>1</v>
      </c>
      <c r="H193" s="8" t="s">
        <v>188</v>
      </c>
      <c r="I193" s="8" t="s">
        <v>188</v>
      </c>
      <c r="J193" s="8" t="s">
        <v>190</v>
      </c>
      <c r="K193" s="7">
        <v>5</v>
      </c>
    </row>
    <row r="194" spans="1:11" ht="16.2" customHeight="1" x14ac:dyDescent="0.3">
      <c r="A194" s="1"/>
      <c r="B194" s="1"/>
      <c r="C194" s="1"/>
      <c r="D194" s="1"/>
      <c r="E194" s="1"/>
      <c r="F194" s="1"/>
      <c r="G194" s="8">
        <v>2</v>
      </c>
      <c r="H194" s="8" t="s">
        <v>188</v>
      </c>
      <c r="I194" s="8" t="s">
        <v>189</v>
      </c>
      <c r="J194" s="8" t="s">
        <v>191</v>
      </c>
      <c r="K194" s="7">
        <v>2</v>
      </c>
    </row>
    <row r="195" spans="1:11" ht="19.8" customHeight="1" x14ac:dyDescent="0.3">
      <c r="A195" s="1"/>
      <c r="B195" s="1"/>
      <c r="C195" s="1"/>
      <c r="D195" s="1"/>
      <c r="E195" s="1"/>
      <c r="F195" s="1"/>
      <c r="G195" s="8">
        <v>3</v>
      </c>
      <c r="H195" s="8" t="s">
        <v>189</v>
      </c>
      <c r="I195" s="8" t="s">
        <v>188</v>
      </c>
      <c r="J195" s="8" t="s">
        <v>192</v>
      </c>
      <c r="K195" s="7">
        <v>4</v>
      </c>
    </row>
    <row r="196" spans="1:11" x14ac:dyDescent="0.3">
      <c r="A196" s="1"/>
      <c r="B196" s="1"/>
      <c r="C196" s="1"/>
      <c r="D196" s="1"/>
      <c r="E196" s="1"/>
      <c r="F196" s="1"/>
      <c r="G196" s="8">
        <v>4</v>
      </c>
      <c r="H196" s="8" t="s">
        <v>188</v>
      </c>
      <c r="I196" s="8" t="s">
        <v>188</v>
      </c>
      <c r="J196" s="1" t="s">
        <v>193</v>
      </c>
      <c r="K196">
        <f>K194/K195</f>
        <v>0.5</v>
      </c>
    </row>
    <row r="197" spans="1:11" x14ac:dyDescent="0.3">
      <c r="A197" s="1"/>
      <c r="B197" s="1"/>
      <c r="C197" s="1"/>
      <c r="D197" s="1"/>
      <c r="E197" s="1"/>
      <c r="F197" s="1"/>
      <c r="G197" s="8">
        <v>5</v>
      </c>
      <c r="H197" s="8" t="s">
        <v>189</v>
      </c>
      <c r="I197" s="8" t="s">
        <v>188</v>
      </c>
      <c r="J197" s="1"/>
    </row>
    <row r="198" spans="1:1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</row>
  </sheetData>
  <mergeCells count="131">
    <mergeCell ref="A145:F145"/>
    <mergeCell ref="G134:M134"/>
    <mergeCell ref="G137:J137"/>
    <mergeCell ref="G141:J141"/>
    <mergeCell ref="G143:J143"/>
    <mergeCell ref="G151:J151"/>
    <mergeCell ref="A139:F139"/>
    <mergeCell ref="A140:F141"/>
    <mergeCell ref="A142:F142"/>
    <mergeCell ref="A143:F143"/>
    <mergeCell ref="A144:F144"/>
    <mergeCell ref="A133:O133"/>
    <mergeCell ref="A134:F134"/>
    <mergeCell ref="A135:F136"/>
    <mergeCell ref="A137:F137"/>
    <mergeCell ref="A138:F138"/>
    <mergeCell ref="A111:F112"/>
    <mergeCell ref="A113:F113"/>
    <mergeCell ref="A114:F115"/>
    <mergeCell ref="G100:M100"/>
    <mergeCell ref="G101:M101"/>
    <mergeCell ref="G106:M106"/>
    <mergeCell ref="G108:M108"/>
    <mergeCell ref="G112:L112"/>
    <mergeCell ref="G114:L114"/>
    <mergeCell ref="A102:F103"/>
    <mergeCell ref="A104:F104"/>
    <mergeCell ref="A105:F106"/>
    <mergeCell ref="A107:F107"/>
    <mergeCell ref="A108:F109"/>
    <mergeCell ref="A110:F110"/>
    <mergeCell ref="G93:J93"/>
    <mergeCell ref="G94:K96"/>
    <mergeCell ref="A99:N99"/>
    <mergeCell ref="A100:F100"/>
    <mergeCell ref="A101:F101"/>
    <mergeCell ref="G77:L77"/>
    <mergeCell ref="A83:F83"/>
    <mergeCell ref="A84:F86"/>
    <mergeCell ref="A87:F87"/>
    <mergeCell ref="A88:F89"/>
    <mergeCell ref="A77:F77"/>
    <mergeCell ref="A78:F78"/>
    <mergeCell ref="A79:F82"/>
    <mergeCell ref="G81:K81"/>
    <mergeCell ref="G82:H82"/>
    <mergeCell ref="G83:J83"/>
    <mergeCell ref="A72:F72"/>
    <mergeCell ref="A73:F73"/>
    <mergeCell ref="A74:F75"/>
    <mergeCell ref="A76:F76"/>
    <mergeCell ref="G72:L72"/>
    <mergeCell ref="G73:L73"/>
    <mergeCell ref="A62:F64"/>
    <mergeCell ref="A65:F65"/>
    <mergeCell ref="A66:F67"/>
    <mergeCell ref="G60:K60"/>
    <mergeCell ref="G63:K63"/>
    <mergeCell ref="G66:K66"/>
    <mergeCell ref="G67:K67"/>
    <mergeCell ref="A58:F58"/>
    <mergeCell ref="A59:F59"/>
    <mergeCell ref="A60:F60"/>
    <mergeCell ref="A61:F61"/>
    <mergeCell ref="A71:M71"/>
    <mergeCell ref="A55:F56"/>
    <mergeCell ref="A57:F57"/>
    <mergeCell ref="A40:F43"/>
    <mergeCell ref="A44:F44"/>
    <mergeCell ref="A45:F46"/>
    <mergeCell ref="G27:L27"/>
    <mergeCell ref="A32:F34"/>
    <mergeCell ref="A35:F35"/>
    <mergeCell ref="A36:F38"/>
    <mergeCell ref="A39:F39"/>
    <mergeCell ref="A27:F27"/>
    <mergeCell ref="A28:F28"/>
    <mergeCell ref="A29:F30"/>
    <mergeCell ref="A31:F31"/>
    <mergeCell ref="G53:L53"/>
    <mergeCell ref="G57:K57"/>
    <mergeCell ref="G54:K54"/>
    <mergeCell ref="A26:N26"/>
    <mergeCell ref="A9:F12"/>
    <mergeCell ref="A13:F13"/>
    <mergeCell ref="A14:F15"/>
    <mergeCell ref="A16:F16"/>
    <mergeCell ref="G14:M17"/>
    <mergeCell ref="G18:M18"/>
    <mergeCell ref="G19:M20"/>
    <mergeCell ref="G12:M12"/>
    <mergeCell ref="G13:M13"/>
    <mergeCell ref="A17:F17"/>
    <mergeCell ref="G9:L9"/>
    <mergeCell ref="A18:F18"/>
    <mergeCell ref="A19:F22"/>
    <mergeCell ref="A1:M2"/>
    <mergeCell ref="G6:M7"/>
    <mergeCell ref="G8:M8"/>
    <mergeCell ref="G11:M11"/>
    <mergeCell ref="G4:L4"/>
    <mergeCell ref="G5:O5"/>
    <mergeCell ref="A5:F5"/>
    <mergeCell ref="A6:F7"/>
    <mergeCell ref="A4:F4"/>
    <mergeCell ref="A8:F8"/>
    <mergeCell ref="A3:L3"/>
    <mergeCell ref="G183:J183"/>
    <mergeCell ref="G191:J191"/>
    <mergeCell ref="G28:J39"/>
    <mergeCell ref="A170:E170"/>
    <mergeCell ref="A171:F171"/>
    <mergeCell ref="A172:F173"/>
    <mergeCell ref="A174:F174"/>
    <mergeCell ref="A175:F175"/>
    <mergeCell ref="G168:I168"/>
    <mergeCell ref="G174:I174"/>
    <mergeCell ref="G175:H175"/>
    <mergeCell ref="I175:J175"/>
    <mergeCell ref="A162:I162"/>
    <mergeCell ref="A163:F163"/>
    <mergeCell ref="G163:J163"/>
    <mergeCell ref="A164:F164"/>
    <mergeCell ref="G164:I164"/>
    <mergeCell ref="A165:F166"/>
    <mergeCell ref="A167:F167"/>
    <mergeCell ref="A168:F168"/>
    <mergeCell ref="A169:F169"/>
    <mergeCell ref="A52:M52"/>
    <mergeCell ref="A53:F53"/>
    <mergeCell ref="A54:F5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E3FCF1-E5D8-486C-88CD-36D88D3727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munjpara</dc:creator>
  <cp:lastModifiedBy>dhruv munjpara</cp:lastModifiedBy>
  <dcterms:created xsi:type="dcterms:W3CDTF">2026-02-20T05:37:51Z</dcterms:created>
  <dcterms:modified xsi:type="dcterms:W3CDTF">2026-03-05T16:15:33Z</dcterms:modified>
</cp:coreProperties>
</file>